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HAVIK KAPOOR\Desktop\Projects\"/>
    </mc:Choice>
  </mc:AlternateContent>
  <xr:revisionPtr revIDLastSave="0" documentId="13_ncr:1_{422F9C21-92BC-4DD8-9CD7-04DA9D3C59CD}" xr6:coauthVersionLast="47" xr6:coauthVersionMax="47" xr10:uidLastSave="{00000000-0000-0000-0000-000000000000}"/>
  <bookViews>
    <workbookView xWindow="-110" yWindow="-110" windowWidth="19420" windowHeight="10420" firstSheet="5" activeTab="9" xr2:uid="{D89693D3-3596-4327-9A69-8ED8704E917F}"/>
  </bookViews>
  <sheets>
    <sheet name="KPI" sheetId="2" r:id="rId1"/>
    <sheet name="Rating" sheetId="4" r:id="rId2"/>
    <sheet name="Gender" sheetId="5" r:id="rId3"/>
    <sheet name="Education by Attrition" sheetId="6" r:id="rId4"/>
    <sheet name="Attrition by Job" sheetId="7" r:id="rId5"/>
    <sheet name="Dept wise Attrition" sheetId="8" r:id="rId6"/>
    <sheet name="Attrition by Age group" sheetId="9" r:id="rId7"/>
    <sheet name="Marital Status" sheetId="10" r:id="rId8"/>
    <sheet name="Data" sheetId="1" r:id="rId9"/>
    <sheet name="Dashboard" sheetId="3" r:id="rId10"/>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0" l="1"/>
  <c r="D6" i="10"/>
  <c r="D4" i="10"/>
  <c r="D5" i="7"/>
  <c r="D6" i="7"/>
  <c r="D7" i="7"/>
  <c r="D8" i="7"/>
  <c r="D9" i="7"/>
  <c r="D10" i="7"/>
  <c r="D11" i="7"/>
  <c r="D12" i="7"/>
  <c r="D4" i="7"/>
  <c r="E5" i="10"/>
  <c r="E6" i="10"/>
  <c r="E4" i="10"/>
  <c r="E5" i="7"/>
  <c r="E6" i="7"/>
  <c r="E7" i="7"/>
  <c r="E9" i="7"/>
  <c r="E10" i="7"/>
  <c r="E11" i="7"/>
  <c r="E8" i="7"/>
  <c r="E12" i="7"/>
  <c r="E4" i="7"/>
  <c r="B10" i="5"/>
  <c r="B9" i="5"/>
  <c r="B6" i="4"/>
  <c r="C8" i="2"/>
  <c r="B8" i="2"/>
  <c r="A8" i="2"/>
  <c r="C9" i="5" l="1"/>
  <c r="C10" i="5"/>
  <c r="C6" i="4"/>
  <c r="B7" i="4"/>
  <c r="C7" i="4" s="1"/>
  <c r="D8" i="2"/>
  <c r="E8" i="2"/>
</calcChain>
</file>

<file path=xl/sharedStrings.xml><?xml version="1.0" encoding="utf-8"?>
<sst xmlns="http://schemas.openxmlformats.org/spreadsheetml/2006/main" count="19216" uniqueCount="1568">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</sst>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2" fontId="0" fillId="0" borderId="0" xfId="0" applyNumberFormat="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6">
    <dxf>
      <numFmt numFmtId="164" formatCode="0.0"/>
    </dxf>
    <dxf>
      <numFmt numFmtId="2" formatCode="0.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F2FF8852-6EC4-45FD-8756-7A34AB7062AF}">
      <tableStyleElement type="headerRow" dxfId="5"/>
      <tableStyleElement type="firstRowStripe" dxfId="4"/>
      <tableStyleElement type="secondRowStripe" dxfId="3"/>
    </tableStyle>
    <tableStyle name="Slicer" pivot="0" table="0" count="4" xr9:uid="{A3F730F0-4E8A-4A4E-A92D-FF028C322C10}">
      <tableStyleElement type="wholeTable" dxfId="2"/>
    </tableStyle>
  </tableStyles>
  <colors>
    <mruColors>
      <color rgb="FF901C7F"/>
      <color rgb="FF5C185E"/>
      <color rgb="FFF763DB"/>
      <color rgb="FFDA80D4"/>
      <color rgb="FF602928"/>
      <color rgb="FFEF9BE9"/>
      <color rgb="FFEEEEEE"/>
    </mruColors>
  </colors>
  <extLst>
    <ext xmlns:x14="http://schemas.microsoft.com/office/spreadsheetml/2009/9/main" uri="{46F421CA-312F-682f-3DD2-61675219B42D}">
      <x14:dxfs count="3">
        <dxf>
          <fill>
            <gradientFill>
              <stop position="0">
                <color theme="1" tint="0.25098422193060094"/>
              </stop>
              <stop position="1">
                <color theme="0" tint="-0.25098422193060094"/>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25098422193060094"/>
              </stop>
              <stop position="1">
                <color theme="0" tint="-0.25098422193060094"/>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61-4745-9A32-F812B68786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61-4745-9A32-F812B6878670}"/>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454E-4FE9-ACDE-BBBE29806F0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D580-4AC8-8102-C8060C8782EA}"/>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D580-4AC8-8102-C8060C8782EA}"/>
            </c:ext>
          </c:extLst>
        </c:ser>
        <c:dLbls>
          <c:showLegendKey val="0"/>
          <c:showVal val="0"/>
          <c:showCatName val="0"/>
          <c:showSerName val="0"/>
          <c:showPercent val="0"/>
          <c:showBubbleSize val="0"/>
        </c:dLbls>
        <c:gapWidth val="0"/>
        <c:overlap val="100"/>
        <c:axId val="1533999264"/>
        <c:axId val="1533996864"/>
      </c:barChart>
      <c:catAx>
        <c:axId val="153399926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996864"/>
        <c:crosses val="autoZero"/>
        <c:auto val="1"/>
        <c:lblAlgn val="ctr"/>
        <c:lblOffset val="100"/>
        <c:noMultiLvlLbl val="0"/>
      </c:catAx>
      <c:valAx>
        <c:axId val="1533996864"/>
        <c:scaling>
          <c:orientation val="minMax"/>
          <c:max val="4"/>
          <c:min val="0"/>
        </c:scaling>
        <c:delete val="1"/>
        <c:axPos val="b"/>
        <c:numFmt formatCode="0.0" sourceLinked="1"/>
        <c:majorTickMark val="out"/>
        <c:minorTickMark val="none"/>
        <c:tickLblPos val="nextTo"/>
        <c:crossAx val="153399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6C-41B7-8742-AB1EB67B1D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6C-41B7-8742-AB1EB67B1D72}"/>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A08B-4816-A041-2DCFDDC723A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F4D-4653-8432-C528EC310871}"/>
            </c:ext>
          </c:extLst>
        </c:ser>
        <c:dLbls>
          <c:dLblPos val="outEnd"/>
          <c:showLegendKey val="0"/>
          <c:showVal val="1"/>
          <c:showCatName val="0"/>
          <c:showSerName val="0"/>
          <c:showPercent val="0"/>
          <c:showBubbleSize val="0"/>
        </c:dLbls>
        <c:gapWidth val="182"/>
        <c:axId val="439096432"/>
        <c:axId val="439096912"/>
      </c:barChart>
      <c:catAx>
        <c:axId val="439096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096912"/>
        <c:crosses val="autoZero"/>
        <c:auto val="1"/>
        <c:lblAlgn val="ctr"/>
        <c:lblOffset val="100"/>
        <c:noMultiLvlLbl val="0"/>
      </c:catAx>
      <c:valAx>
        <c:axId val="439096912"/>
        <c:scaling>
          <c:orientation val="minMax"/>
        </c:scaling>
        <c:delete val="1"/>
        <c:axPos val="b"/>
        <c:numFmt formatCode="General" sourceLinked="1"/>
        <c:majorTickMark val="out"/>
        <c:minorTickMark val="none"/>
        <c:tickLblPos val="nextTo"/>
        <c:crossAx val="43909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7.4603532666524794E-2"/>
          <c:y val="1.0101010101010102E-2"/>
          <c:w val="0.5243243243243243"/>
          <c:h val="0.97979797979797978"/>
        </c:manualLayout>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8E-4B1F-9C92-848B42F7C4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8E-4B1F-9C92-848B42F7C4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8E-4B1F-9C92-848B42F7C449}"/>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6CA-4269-86C5-BB683A8D622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1C0-4385-88B9-F4FDA50E71AC}"/>
            </c:ext>
          </c:extLst>
        </c:ser>
        <c:dLbls>
          <c:showLegendKey val="0"/>
          <c:showVal val="0"/>
          <c:showCatName val="0"/>
          <c:showSerName val="0"/>
          <c:showPercent val="0"/>
          <c:showBubbleSize val="0"/>
        </c:dLbls>
        <c:gapWidth val="219"/>
        <c:overlap val="-27"/>
        <c:axId val="257652752"/>
        <c:axId val="257657072"/>
      </c:barChart>
      <c:catAx>
        <c:axId val="25765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657072"/>
        <c:crosses val="autoZero"/>
        <c:auto val="1"/>
        <c:lblAlgn val="ctr"/>
        <c:lblOffset val="100"/>
        <c:noMultiLvlLbl val="0"/>
      </c:catAx>
      <c:valAx>
        <c:axId val="257657072"/>
        <c:scaling>
          <c:orientation val="minMax"/>
        </c:scaling>
        <c:delete val="1"/>
        <c:axPos val="l"/>
        <c:numFmt formatCode="General" sourceLinked="1"/>
        <c:majorTickMark val="none"/>
        <c:minorTickMark val="none"/>
        <c:tickLblPos val="nextTo"/>
        <c:crossAx val="25765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046426061164326"/>
          <c:y val="0.10919564432410057"/>
          <c:w val="0.44328157703615839"/>
          <c:h val="0.61142267313345777"/>
        </c:manualLayout>
      </c:layout>
      <c:doughnutChart>
        <c:varyColors val="1"/>
        <c:ser>
          <c:idx val="0"/>
          <c:order val="0"/>
          <c:spPr>
            <a:ln>
              <a:noFill/>
            </a:ln>
          </c:spPr>
          <c:dPt>
            <c:idx val="0"/>
            <c:bubble3D val="0"/>
            <c:spPr>
              <a:gradFill>
                <a:gsLst>
                  <a:gs pos="0">
                    <a:schemeClr val="accent1">
                      <a:lumMod val="50000"/>
                    </a:schemeClr>
                  </a:gs>
                  <a:gs pos="100000">
                    <a:schemeClr val="accent6">
                      <a:lumMod val="50000"/>
                    </a:schemeClr>
                  </a:gs>
                </a:gsLst>
                <a:lin ang="5400000" scaled="1"/>
              </a:gradFill>
              <a:ln w="19050">
                <a:noFill/>
              </a:ln>
              <a:effectLst/>
            </c:spPr>
            <c:extLst>
              <c:ext xmlns:c16="http://schemas.microsoft.com/office/drawing/2014/chart" uri="{C3380CC4-5D6E-409C-BE32-E72D297353CC}">
                <c16:uniqueId val="{00000001-0202-4CDD-853F-A22880E591DF}"/>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0202-4CDD-853F-A22880E591D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0202-4CDD-853F-A22880E591D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602928"/>
            </a:solidFill>
            <a:ln>
              <a:noFill/>
            </a:ln>
            <a:effectLst/>
          </c:spPr>
          <c:invertIfNegative val="0"/>
          <c:dPt>
            <c:idx val="0"/>
            <c:invertIfNegative val="0"/>
            <c:bubble3D val="0"/>
            <c:spPr>
              <a:solidFill>
                <a:srgbClr val="602928"/>
              </a:solidFill>
              <a:ln>
                <a:noFill/>
              </a:ln>
              <a:effectLst/>
            </c:spPr>
            <c:extLst>
              <c:ext xmlns:c16="http://schemas.microsoft.com/office/drawing/2014/chart" uri="{C3380CC4-5D6E-409C-BE32-E72D297353CC}">
                <c16:uniqueId val="{00000004-C46F-4FA7-BD5A-9BF383840F60}"/>
              </c:ext>
            </c:extLst>
          </c:dPt>
          <c:val>
            <c:numRef>
              <c:f>Rating!$B$6</c:f>
              <c:numCache>
                <c:formatCode>0.0</c:formatCode>
                <c:ptCount val="1"/>
                <c:pt idx="0">
                  <c:v>2.6265306122448981</c:v>
                </c:pt>
              </c:numCache>
            </c:numRef>
          </c:val>
          <c:extLst>
            <c:ext xmlns:c16="http://schemas.microsoft.com/office/drawing/2014/chart" uri="{C3380CC4-5D6E-409C-BE32-E72D297353CC}">
              <c16:uniqueId val="{00000000-C46F-4FA7-BD5A-9BF383840F60}"/>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C46F-4FA7-BD5A-9BF383840F60}"/>
            </c:ext>
          </c:extLst>
        </c:ser>
        <c:dLbls>
          <c:showLegendKey val="0"/>
          <c:showVal val="0"/>
          <c:showCatName val="0"/>
          <c:showSerName val="0"/>
          <c:showPercent val="0"/>
          <c:showBubbleSize val="0"/>
        </c:dLbls>
        <c:gapWidth val="0"/>
        <c:overlap val="97"/>
        <c:axId val="1533999264"/>
        <c:axId val="1533996864"/>
      </c:barChart>
      <c:catAx>
        <c:axId val="1533999264"/>
        <c:scaling>
          <c:orientation val="minMax"/>
        </c:scaling>
        <c:delete val="1"/>
        <c:axPos val="l"/>
        <c:majorTickMark val="out"/>
        <c:minorTickMark val="none"/>
        <c:tickLblPos val="nextTo"/>
        <c:crossAx val="1533996864"/>
        <c:crosses val="autoZero"/>
        <c:auto val="1"/>
        <c:lblAlgn val="ctr"/>
        <c:lblOffset val="100"/>
        <c:noMultiLvlLbl val="0"/>
      </c:catAx>
      <c:valAx>
        <c:axId val="1533996864"/>
        <c:scaling>
          <c:orientation val="minMax"/>
          <c:max val="4"/>
          <c:min val="0"/>
        </c:scaling>
        <c:delete val="1"/>
        <c:axPos val="b"/>
        <c:numFmt formatCode="0.0" sourceLinked="1"/>
        <c:majorTickMark val="out"/>
        <c:minorTickMark val="none"/>
        <c:tickLblPos val="nextTo"/>
        <c:crossAx val="153399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5C185E"/>
                  </a:gs>
                  <a:gs pos="100000">
                    <a:srgbClr val="F763DB"/>
                  </a:gs>
                </a:gsLst>
                <a:lin ang="10800000" scaled="0"/>
              </a:gradFill>
              <a:ln w="19050">
                <a:noFill/>
              </a:ln>
              <a:effectLst/>
            </c:spPr>
            <c:extLst>
              <c:ext xmlns:c16="http://schemas.microsoft.com/office/drawing/2014/chart" uri="{C3380CC4-5D6E-409C-BE32-E72D297353CC}">
                <c16:uniqueId val="{00000001-86F5-4607-9121-90101707E51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6F5-4607-9121-90101707E51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6F5-4607-9121-90101707E51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740A-4AEB-8C3E-D54E38AE7A57}"/>
              </c:ext>
            </c:extLst>
          </c:dPt>
          <c:dPt>
            <c:idx val="1"/>
            <c:bubble3D val="0"/>
            <c:spPr>
              <a:gradFill>
                <a:gsLst>
                  <a:gs pos="0">
                    <a:srgbClr val="002060"/>
                  </a:gs>
                  <a:gs pos="100000">
                    <a:schemeClr val="accent1"/>
                  </a:gs>
                </a:gsLst>
                <a:lin ang="10800000" scaled="0"/>
              </a:gradFill>
              <a:ln w="19050">
                <a:noFill/>
              </a:ln>
              <a:effectLst/>
            </c:spPr>
            <c:extLst>
              <c:ext xmlns:c16="http://schemas.microsoft.com/office/drawing/2014/chart" uri="{C3380CC4-5D6E-409C-BE32-E72D297353CC}">
                <c16:uniqueId val="{00000003-740A-4AEB-8C3E-D54E38AE7A5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40A-4AEB-8C3E-D54E38AE7A5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[HR_Analytics.xlsx]Education by Attrition!Education by Attrition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135-4233-845E-9D7AF6FE0003}"/>
            </c:ext>
          </c:extLst>
        </c:ser>
        <c:dLbls>
          <c:dLblPos val="outEnd"/>
          <c:showLegendKey val="0"/>
          <c:showVal val="1"/>
          <c:showCatName val="0"/>
          <c:showSerName val="0"/>
          <c:showPercent val="0"/>
          <c:showBubbleSize val="0"/>
        </c:dLbls>
        <c:gapWidth val="75"/>
        <c:axId val="439096432"/>
        <c:axId val="439096912"/>
      </c:barChart>
      <c:catAx>
        <c:axId val="439096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9096912"/>
        <c:crosses val="autoZero"/>
        <c:auto val="1"/>
        <c:lblAlgn val="ctr"/>
        <c:lblOffset val="100"/>
        <c:noMultiLvlLbl val="0"/>
      </c:catAx>
      <c:valAx>
        <c:axId val="439096912"/>
        <c:scaling>
          <c:orientation val="minMax"/>
        </c:scaling>
        <c:delete val="1"/>
        <c:axPos val="b"/>
        <c:numFmt formatCode="General" sourceLinked="1"/>
        <c:majorTickMark val="out"/>
        <c:minorTickMark val="none"/>
        <c:tickLblPos val="nextTo"/>
        <c:crossAx val="43909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[HR_Analytics.xlsx]Dept wise Attrition!Dept wise Attrition</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2">
                  <a:lumMod val="60000"/>
                  <a:lumOff val="40000"/>
                </a:schemeClr>
              </a:gs>
            </a:gsLst>
            <a:lin ang="10800000" scaled="0"/>
          </a:gradFill>
          <a:ln w="12700">
            <a:solidFill>
              <a:schemeClr val="bg1">
                <a:lumMod val="85000"/>
              </a:schemeClr>
            </a:solidFill>
          </a:ln>
          <a:effectLst/>
        </c:spPr>
      </c:pivotFmt>
      <c:pivotFmt>
        <c:idx val="7"/>
        <c:spPr>
          <a:gradFill>
            <a:gsLst>
              <a:gs pos="0">
                <a:schemeClr val="accent5">
                  <a:lumMod val="50000"/>
                </a:schemeClr>
              </a:gs>
              <a:gs pos="100000">
                <a:schemeClr val="accent5">
                  <a:lumMod val="75000"/>
                </a:schemeClr>
              </a:gs>
            </a:gsLst>
            <a:lin ang="10800000" scaled="0"/>
          </a:gradFill>
          <a:ln w="12700">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10800000" scaled="0"/>
          </a:gradFill>
          <a:ln w="12700">
            <a:solidFill>
              <a:schemeClr val="bg1">
                <a:lumMod val="85000"/>
              </a:schemeClr>
            </a:solidFill>
          </a:ln>
          <a:effectLst/>
        </c:spPr>
      </c:pivotFmt>
    </c:pivotFmts>
    <c:plotArea>
      <c:layout>
        <c:manualLayout>
          <c:layoutTarget val="inner"/>
          <c:xMode val="edge"/>
          <c:yMode val="edge"/>
          <c:x val="7.4603532666524794E-2"/>
          <c:y val="1.0101010101010102E-2"/>
          <c:w val="0.5243243243243243"/>
          <c:h val="0.97979797979797978"/>
        </c:manualLayout>
      </c:layout>
      <c:pieChart>
        <c:varyColors val="1"/>
        <c:ser>
          <c:idx val="0"/>
          <c:order val="0"/>
          <c:tx>
            <c:strRef>
              <c:f>'Dept wise Attrition'!$B$3</c:f>
              <c:strCache>
                <c:ptCount val="1"/>
                <c:pt idx="0">
                  <c:v>Total</c:v>
                </c:pt>
              </c:strCache>
            </c:strRef>
          </c:tx>
          <c:spPr>
            <a:ln w="12700">
              <a:solidFill>
                <a:schemeClr val="bg1">
                  <a:lumMod val="85000"/>
                </a:schemeClr>
              </a:solidFill>
            </a:ln>
          </c:spPr>
          <c:dPt>
            <c:idx val="0"/>
            <c:bubble3D val="0"/>
            <c:spPr>
              <a:gradFill>
                <a:gsLst>
                  <a:gs pos="0">
                    <a:schemeClr val="accent2">
                      <a:lumMod val="75000"/>
                    </a:schemeClr>
                  </a:gs>
                  <a:gs pos="100000">
                    <a:schemeClr val="accent2">
                      <a:lumMod val="60000"/>
                      <a:lumOff val="40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1-451F-4B23-99C1-43DEEC50A571}"/>
              </c:ext>
            </c:extLst>
          </c:dPt>
          <c:dPt>
            <c:idx val="1"/>
            <c:bubble3D val="0"/>
            <c:spPr>
              <a:gradFill>
                <a:gsLst>
                  <a:gs pos="0">
                    <a:schemeClr val="accent5">
                      <a:lumMod val="50000"/>
                    </a:schemeClr>
                  </a:gs>
                  <a:gs pos="100000">
                    <a:schemeClr val="accent5">
                      <a:lumMod val="75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451F-4B23-99C1-43DEEC50A571}"/>
              </c:ext>
            </c:extLst>
          </c:dPt>
          <c:dPt>
            <c:idx val="2"/>
            <c:bubble3D val="0"/>
            <c:spPr>
              <a:gradFill>
                <a:gsLst>
                  <a:gs pos="0">
                    <a:schemeClr val="accent3">
                      <a:lumMod val="50000"/>
                    </a:schemeClr>
                  </a:gs>
                  <a:gs pos="100000">
                    <a:schemeClr val="accent3">
                      <a:lumMod val="75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5-451F-4B23-99C1-43DEEC50A5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51F-4B23-99C1-43DEEC50A57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0B3-4F33-A668-4E5DAB4309B2}"/>
            </c:ext>
          </c:extLst>
        </c:ser>
        <c:dLbls>
          <c:showLegendKey val="0"/>
          <c:showVal val="0"/>
          <c:showCatName val="0"/>
          <c:showSerName val="0"/>
          <c:showPercent val="0"/>
          <c:showBubbleSize val="0"/>
        </c:dLbls>
        <c:gapWidth val="107"/>
        <c:overlap val="-27"/>
        <c:axId val="257652752"/>
        <c:axId val="257657072"/>
      </c:barChart>
      <c:catAx>
        <c:axId val="25765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257657072"/>
        <c:crosses val="autoZero"/>
        <c:auto val="1"/>
        <c:lblAlgn val="ctr"/>
        <c:lblOffset val="100"/>
        <c:noMultiLvlLbl val="0"/>
      </c:catAx>
      <c:valAx>
        <c:axId val="257657072"/>
        <c:scaling>
          <c:orientation val="minMax"/>
        </c:scaling>
        <c:delete val="1"/>
        <c:axPos val="l"/>
        <c:numFmt formatCode="General" sourceLinked="1"/>
        <c:majorTickMark val="none"/>
        <c:minorTickMark val="none"/>
        <c:tickLblPos val="nextTo"/>
        <c:crossAx val="25765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DBA7F5D-BA66-469A-9ACD-500727CD889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8DF1D53E-B45D-4BBC-94CD-8D217786C610}">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DBA7F5D-BA66-469A-9ACD-500727CD8894}">
          <cx:spPr>
            <a:ln>
              <a:noFill/>
            </a:ln>
          </cx:spPr>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8DF1D53E-B45D-4BBC-94CD-8D217786C610}">
          <cx:tx>
            <cx:txData>
              <cx:f>_xlchart.v2.8</cx:f>
              <cx:v>Attrition</cx:v>
            </cx:txData>
          </cx:tx>
          <cx:spPr>
            <a:gradFill>
              <a:gsLst>
                <a:gs pos="0">
                  <a:schemeClr val="accent6">
                    <a:lumMod val="75000"/>
                  </a:schemeClr>
                </a:gs>
                <a:gs pos="100000">
                  <a:schemeClr val="accent6">
                    <a:lumMod val="50000"/>
                  </a:schemeClr>
                </a:gs>
              </a:gsLst>
              <a:lin ang="108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6</xdr:col>
      <xdr:colOff>12700</xdr:colOff>
      <xdr:row>1</xdr:row>
      <xdr:rowOff>12701</xdr:rowOff>
    </xdr:from>
    <xdr:to>
      <xdr:col>9</xdr:col>
      <xdr:colOff>0</xdr:colOff>
      <xdr:row>6</xdr:row>
      <xdr:rowOff>44451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53142D8-6CE5-8B61-B97C-2C469956136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37350" y="196851"/>
              <a:ext cx="18161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117475</xdr:colOff>
      <xdr:row>3</xdr:row>
      <xdr:rowOff>44450</xdr:rowOff>
    </xdr:from>
    <xdr:to>
      <xdr:col>7</xdr:col>
      <xdr:colOff>311150</xdr:colOff>
      <xdr:row>9</xdr:row>
      <xdr:rowOff>139700</xdr:rowOff>
    </xdr:to>
    <xdr:graphicFrame macro="">
      <xdr:nvGraphicFramePr>
        <xdr:cNvPr id="2" name="Chart 1">
          <a:extLst>
            <a:ext uri="{FF2B5EF4-FFF2-40B4-BE49-F238E27FC236}">
              <a16:creationId xmlns:a16="http://schemas.microsoft.com/office/drawing/2014/main" id="{DA5EB191-353F-BB46-3653-AAD39D333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0</xdr:row>
      <xdr:rowOff>82551</xdr:rowOff>
    </xdr:from>
    <xdr:to>
      <xdr:col>11</xdr:col>
      <xdr:colOff>25400</xdr:colOff>
      <xdr:row>5</xdr:row>
      <xdr:rowOff>31751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8416653B-8A26-37D8-A084-FDB09142DC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05500" y="82551"/>
              <a:ext cx="1854200"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57151</xdr:colOff>
      <xdr:row>11</xdr:row>
      <xdr:rowOff>107950</xdr:rowOff>
    </xdr:from>
    <xdr:to>
      <xdr:col>7</xdr:col>
      <xdr:colOff>558801</xdr:colOff>
      <xdr:row>16</xdr:row>
      <xdr:rowOff>127000</xdr:rowOff>
    </xdr:to>
    <xdr:graphicFrame macro="">
      <xdr:nvGraphicFramePr>
        <xdr:cNvPr id="4" name="Chart 3">
          <a:extLst>
            <a:ext uri="{FF2B5EF4-FFF2-40B4-BE49-F238E27FC236}">
              <a16:creationId xmlns:a16="http://schemas.microsoft.com/office/drawing/2014/main" id="{3BA41F7F-D438-7CA7-19D1-4DE2B0323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603250</xdr:colOff>
      <xdr:row>5</xdr:row>
      <xdr:rowOff>82550</xdr:rowOff>
    </xdr:from>
    <xdr:to>
      <xdr:col>10</xdr:col>
      <xdr:colOff>577850</xdr:colOff>
      <xdr:row>16</xdr:row>
      <xdr:rowOff>69849</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C30466C9-930F-5FA9-D833-54F04CE87B7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899150" y="1003300"/>
              <a:ext cx="1803400" cy="2012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12700</xdr:colOff>
      <xdr:row>5</xdr:row>
      <xdr:rowOff>12701</xdr:rowOff>
    </xdr:from>
    <xdr:to>
      <xdr:col>9</xdr:col>
      <xdr:colOff>12700</xdr:colOff>
      <xdr:row>15</xdr:row>
      <xdr:rowOff>165101</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7A069A48-37BF-760F-3B01-C8FB7A382EB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889500" y="933451"/>
              <a:ext cx="1828800" cy="199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12700</xdr:colOff>
      <xdr:row>0</xdr:row>
      <xdr:rowOff>6351</xdr:rowOff>
    </xdr:from>
    <xdr:to>
      <xdr:col>9</xdr:col>
      <xdr:colOff>12700</xdr:colOff>
      <xdr:row>5</xdr:row>
      <xdr:rowOff>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26D2ACDD-DB85-D629-1026-7E0CD4A999C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89500" y="6351"/>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936625</xdr:colOff>
      <xdr:row>11</xdr:row>
      <xdr:rowOff>12700</xdr:rowOff>
    </xdr:from>
    <xdr:to>
      <xdr:col>4</xdr:col>
      <xdr:colOff>323850</xdr:colOff>
      <xdr:row>20</xdr:row>
      <xdr:rowOff>50800</xdr:rowOff>
    </xdr:to>
    <xdr:graphicFrame macro="">
      <xdr:nvGraphicFramePr>
        <xdr:cNvPr id="4" name="Chart 3">
          <a:extLst>
            <a:ext uri="{FF2B5EF4-FFF2-40B4-BE49-F238E27FC236}">
              <a16:creationId xmlns:a16="http://schemas.microsoft.com/office/drawing/2014/main" id="{26D1D3B1-6F27-AEDC-3AB8-236BE5965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282575</xdr:colOff>
      <xdr:row>3</xdr:row>
      <xdr:rowOff>44450</xdr:rowOff>
    </xdr:from>
    <xdr:to>
      <xdr:col>10</xdr:col>
      <xdr:colOff>587375</xdr:colOff>
      <xdr:row>18</xdr:row>
      <xdr:rowOff>25400</xdr:rowOff>
    </xdr:to>
    <xdr:graphicFrame macro="">
      <xdr:nvGraphicFramePr>
        <xdr:cNvPr id="2" name="Chart 1">
          <a:extLst>
            <a:ext uri="{FF2B5EF4-FFF2-40B4-BE49-F238E27FC236}">
              <a16:creationId xmlns:a16="http://schemas.microsoft.com/office/drawing/2014/main" id="{B65148BD-EDDA-D8D5-DBF5-4B9B2CE49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606425</xdr:colOff>
      <xdr:row>2</xdr:row>
      <xdr:rowOff>12700</xdr:rowOff>
    </xdr:from>
    <xdr:to>
      <xdr:col>13</xdr:col>
      <xdr:colOff>301625</xdr:colOff>
      <xdr:row>16</xdr:row>
      <xdr:rowOff>177800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38883C2-EEC4-F2B5-B7F7-B46D97E880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9875" y="381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2</xdr:row>
      <xdr:rowOff>12700</xdr:rowOff>
    </xdr:from>
    <xdr:to>
      <xdr:col>6</xdr:col>
      <xdr:colOff>539750</xdr:colOff>
      <xdr:row>8</xdr:row>
      <xdr:rowOff>165100</xdr:rowOff>
    </xdr:to>
    <xdr:graphicFrame macro="">
      <xdr:nvGraphicFramePr>
        <xdr:cNvPr id="2" name="Chart 1">
          <a:extLst>
            <a:ext uri="{FF2B5EF4-FFF2-40B4-BE49-F238E27FC236}">
              <a16:creationId xmlns:a16="http://schemas.microsoft.com/office/drawing/2014/main" id="{D7497D9A-FC58-EF9E-2B75-E1A915581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431800</xdr:colOff>
      <xdr:row>2</xdr:row>
      <xdr:rowOff>0</xdr:rowOff>
    </xdr:from>
    <xdr:to>
      <xdr:col>11</xdr:col>
      <xdr:colOff>304800</xdr:colOff>
      <xdr:row>8</xdr:row>
      <xdr:rowOff>88900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57501FE-9395-FC2B-D9CE-4557679F30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43750" y="368300"/>
              <a:ext cx="1092200"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171450</xdr:colOff>
      <xdr:row>2</xdr:row>
      <xdr:rowOff>0</xdr:rowOff>
    </xdr:from>
    <xdr:to>
      <xdr:col>9</xdr:col>
      <xdr:colOff>368300</xdr:colOff>
      <xdr:row>12</xdr:row>
      <xdr:rowOff>152399</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0B40596F-23A5-7466-A87D-424E3EC6AE2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664200" y="368300"/>
              <a:ext cx="1416050" cy="199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6350</xdr:colOff>
      <xdr:row>2</xdr:row>
      <xdr:rowOff>6350</xdr:rowOff>
    </xdr:from>
    <xdr:to>
      <xdr:col>10</xdr:col>
      <xdr:colOff>311150</xdr:colOff>
      <xdr:row>16</xdr:row>
      <xdr:rowOff>171450</xdr:rowOff>
    </xdr:to>
    <xdr:graphicFrame macro="">
      <xdr:nvGraphicFramePr>
        <xdr:cNvPr id="2" name="Chart 1">
          <a:extLst>
            <a:ext uri="{FF2B5EF4-FFF2-40B4-BE49-F238E27FC236}">
              <a16:creationId xmlns:a16="http://schemas.microsoft.com/office/drawing/2014/main" id="{6DE7EFB5-BA8E-FAAB-7DEA-B906DE062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3175</xdr:colOff>
      <xdr:row>3</xdr:row>
      <xdr:rowOff>0</xdr:rowOff>
    </xdr:from>
    <xdr:to>
      <xdr:col>11</xdr:col>
      <xdr:colOff>6350</xdr:colOff>
      <xdr:row>10</xdr:row>
      <xdr:rowOff>171450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B281AC1-029F-FD3F-BB54-31D13A494F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40325" y="552450"/>
              <a:ext cx="3051175" cy="1460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1</xdr:row>
      <xdr:rowOff>0</xdr:rowOff>
    </xdr:from>
    <xdr:to>
      <xdr:col>27</xdr:col>
      <xdr:colOff>585355</xdr:colOff>
      <xdr:row>42</xdr:row>
      <xdr:rowOff>454</xdr:rowOff>
    </xdr:to>
    <xdr:grpSp>
      <xdr:nvGrpSpPr>
        <xdr:cNvPr id="126" name="Group 125">
          <a:extLst>
            <a:ext uri="{FF2B5EF4-FFF2-40B4-BE49-F238E27FC236}">
              <a16:creationId xmlns:a16="http://schemas.microsoft.com/office/drawing/2014/main" id="{4934884A-D391-4592-0A79-1781CE88C031}"/>
            </a:ext>
          </a:extLst>
        </xdr:cNvPr>
        <xdr:cNvGrpSpPr/>
      </xdr:nvGrpSpPr>
      <xdr:grpSpPr>
        <a:xfrm>
          <a:off x="1823357" y="181429"/>
          <a:ext cx="15172212" cy="7439025"/>
          <a:chOff x="1823357" y="181429"/>
          <a:chExt cx="15172212" cy="7439025"/>
        </a:xfrm>
      </xdr:grpSpPr>
      <xdr:grpSp>
        <xdr:nvGrpSpPr>
          <xdr:cNvPr id="29" name="Shape 2">
            <a:extLst>
              <a:ext uri="{FF2B5EF4-FFF2-40B4-BE49-F238E27FC236}">
                <a16:creationId xmlns:a16="http://schemas.microsoft.com/office/drawing/2014/main" id="{C5705ED5-46FD-4B3B-99F0-CCDF7FF1F14D}"/>
              </a:ext>
            </a:extLst>
          </xdr:cNvPr>
          <xdr:cNvGrpSpPr/>
        </xdr:nvGrpSpPr>
        <xdr:grpSpPr>
          <a:xfrm>
            <a:off x="1823357" y="181429"/>
            <a:ext cx="14754225" cy="7439025"/>
            <a:chOff x="0" y="60488"/>
            <a:chExt cx="10692000" cy="7439025"/>
          </a:xfrm>
        </xdr:grpSpPr>
        <xdr:grpSp>
          <xdr:nvGrpSpPr>
            <xdr:cNvPr id="30" name="Shape 29">
              <a:extLst>
                <a:ext uri="{FF2B5EF4-FFF2-40B4-BE49-F238E27FC236}">
                  <a16:creationId xmlns:a16="http://schemas.microsoft.com/office/drawing/2014/main" id="{BF07CF93-3B58-D020-78BD-C0CE8925730A}"/>
                </a:ext>
              </a:extLst>
            </xdr:cNvPr>
            <xdr:cNvGrpSpPr/>
          </xdr:nvGrpSpPr>
          <xdr:grpSpPr>
            <a:xfrm>
              <a:off x="0" y="60488"/>
              <a:ext cx="10692000" cy="7439025"/>
              <a:chOff x="1752600" y="190500"/>
              <a:chExt cx="13468350" cy="7776000"/>
            </a:xfrm>
          </xdr:grpSpPr>
          <xdr:sp macro="" textlink="">
            <xdr:nvSpPr>
              <xdr:cNvPr id="31" name="Shape 4">
                <a:extLst>
                  <a:ext uri="{FF2B5EF4-FFF2-40B4-BE49-F238E27FC236}">
                    <a16:creationId xmlns:a16="http://schemas.microsoft.com/office/drawing/2014/main" id="{FD2A0710-9EFE-40D2-1F35-31803B7C5EE2}"/>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2" name="Shape 30">
                <a:extLst>
                  <a:ext uri="{FF2B5EF4-FFF2-40B4-BE49-F238E27FC236}">
                    <a16:creationId xmlns:a16="http://schemas.microsoft.com/office/drawing/2014/main" id="{A836B6F1-A726-7F50-B29A-68B014D02B19}"/>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3" name="Shape 31">
                <a:extLst>
                  <a:ext uri="{FF2B5EF4-FFF2-40B4-BE49-F238E27FC236}">
                    <a16:creationId xmlns:a16="http://schemas.microsoft.com/office/drawing/2014/main" id="{F5E2C8D0-CE66-B472-6C96-B1F5A2CA054C}"/>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4" name="Shape 32">
                <a:extLst>
                  <a:ext uri="{FF2B5EF4-FFF2-40B4-BE49-F238E27FC236}">
                    <a16:creationId xmlns:a16="http://schemas.microsoft.com/office/drawing/2014/main" id="{CFC07998-A28F-F301-8CA8-130B220E0DCC}"/>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5" name="Shape 33">
                <a:extLst>
                  <a:ext uri="{FF2B5EF4-FFF2-40B4-BE49-F238E27FC236}">
                    <a16:creationId xmlns:a16="http://schemas.microsoft.com/office/drawing/2014/main" id="{FC405E82-E5EC-16FC-0A53-B5E5C423A697}"/>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6" name="Shape 34">
                <a:extLst>
                  <a:ext uri="{FF2B5EF4-FFF2-40B4-BE49-F238E27FC236}">
                    <a16:creationId xmlns:a16="http://schemas.microsoft.com/office/drawing/2014/main" id="{EE4631A0-41D0-7D3A-53C7-99BAF0712235}"/>
                  </a:ext>
                </a:extLst>
              </xdr:cNvPr>
              <xdr:cNvGrpSpPr/>
            </xdr:nvGrpSpPr>
            <xdr:grpSpPr>
              <a:xfrm>
                <a:off x="1846116" y="1215714"/>
                <a:ext cx="13289109" cy="998848"/>
                <a:chOff x="1846116" y="1215714"/>
                <a:chExt cx="13403409" cy="998848"/>
              </a:xfrm>
            </xdr:grpSpPr>
            <xdr:sp macro="" textlink="">
              <xdr:nvSpPr>
                <xdr:cNvPr id="51" name="Shape 35">
                  <a:extLst>
                    <a:ext uri="{FF2B5EF4-FFF2-40B4-BE49-F238E27FC236}">
                      <a16:creationId xmlns:a16="http://schemas.microsoft.com/office/drawing/2014/main" id="{C4EEDCD5-4499-7E65-5C15-EC836243F241}"/>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2" name="Shape 36">
                  <a:extLst>
                    <a:ext uri="{FF2B5EF4-FFF2-40B4-BE49-F238E27FC236}">
                      <a16:creationId xmlns:a16="http://schemas.microsoft.com/office/drawing/2014/main" id="{6A97339D-26ED-E011-880F-2C78F01EBDDF}"/>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3" name="Shape 37">
                  <a:extLst>
                    <a:ext uri="{FF2B5EF4-FFF2-40B4-BE49-F238E27FC236}">
                      <a16:creationId xmlns:a16="http://schemas.microsoft.com/office/drawing/2014/main" id="{06EC415E-AD5D-21DB-DCF3-23A7F6BFAE7D}"/>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4" name="Shape 38">
                  <a:extLst>
                    <a:ext uri="{FF2B5EF4-FFF2-40B4-BE49-F238E27FC236}">
                      <a16:creationId xmlns:a16="http://schemas.microsoft.com/office/drawing/2014/main" id="{52327328-3408-5919-6935-64A5A12E030E}"/>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5" name="Shape 39">
                  <a:extLst>
                    <a:ext uri="{FF2B5EF4-FFF2-40B4-BE49-F238E27FC236}">
                      <a16:creationId xmlns:a16="http://schemas.microsoft.com/office/drawing/2014/main" id="{2FEAE217-B104-384E-B681-E3EFD51D8A42}"/>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37" name="Shape 40">
                <a:extLst>
                  <a:ext uri="{FF2B5EF4-FFF2-40B4-BE49-F238E27FC236}">
                    <a16:creationId xmlns:a16="http://schemas.microsoft.com/office/drawing/2014/main" id="{62891E2B-3069-D9C5-B5CA-64CA49D218E9}"/>
                  </a:ext>
                </a:extLst>
              </xdr:cNvPr>
              <xdr:cNvGrpSpPr/>
            </xdr:nvGrpSpPr>
            <xdr:grpSpPr>
              <a:xfrm>
                <a:off x="1847145" y="5162550"/>
                <a:ext cx="3867930" cy="2709509"/>
                <a:chOff x="1847145" y="2304895"/>
                <a:chExt cx="3867930" cy="2772878"/>
              </a:xfrm>
            </xdr:grpSpPr>
            <xdr:sp macro="" textlink="">
              <xdr:nvSpPr>
                <xdr:cNvPr id="49" name="Shape 41">
                  <a:extLst>
                    <a:ext uri="{FF2B5EF4-FFF2-40B4-BE49-F238E27FC236}">
                      <a16:creationId xmlns:a16="http://schemas.microsoft.com/office/drawing/2014/main" id="{F71C60DF-5EE5-EA42-746A-6EB11EF471F3}"/>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0" name="Shape 42">
                  <a:extLst>
                    <a:ext uri="{FF2B5EF4-FFF2-40B4-BE49-F238E27FC236}">
                      <a16:creationId xmlns:a16="http://schemas.microsoft.com/office/drawing/2014/main" id="{5BA6B8C7-D047-8479-DF52-2A2F938E4B06}"/>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38" name="Shape 43">
                <a:extLst>
                  <a:ext uri="{FF2B5EF4-FFF2-40B4-BE49-F238E27FC236}">
                    <a16:creationId xmlns:a16="http://schemas.microsoft.com/office/drawing/2014/main" id="{C7BB5DA8-A3B1-FDD0-23FD-DDCFD0BA83C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39" name="Shape 44">
                <a:extLst>
                  <a:ext uri="{FF2B5EF4-FFF2-40B4-BE49-F238E27FC236}">
                    <a16:creationId xmlns:a16="http://schemas.microsoft.com/office/drawing/2014/main" id="{4F9CD91D-3744-0D7E-36B3-3A1A7AEF9536}"/>
                  </a:ext>
                </a:extLst>
              </xdr:cNvPr>
              <xdr:cNvSpPr/>
            </xdr:nvSpPr>
            <xdr:spPr>
              <a:xfrm>
                <a:off x="10744199" y="2304895"/>
                <a:ext cx="4381501" cy="2772878"/>
              </a:xfrm>
              <a:prstGeom prst="roundRect">
                <a:avLst>
                  <a:gd name="adj" fmla="val 3303"/>
                </a:avLst>
              </a:prstGeom>
              <a:solidFill>
                <a:sysClr val="window" lastClr="FFFFFF">
                  <a:alpha val="94901"/>
                </a:sys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0" name="Shape 45">
                <a:extLst>
                  <a:ext uri="{FF2B5EF4-FFF2-40B4-BE49-F238E27FC236}">
                    <a16:creationId xmlns:a16="http://schemas.microsoft.com/office/drawing/2014/main" id="{6DF442FD-A49E-D65F-77FC-CE9A9A730F62}"/>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1" name="Shape 46">
                <a:extLst>
                  <a:ext uri="{FF2B5EF4-FFF2-40B4-BE49-F238E27FC236}">
                    <a16:creationId xmlns:a16="http://schemas.microsoft.com/office/drawing/2014/main" id="{34E6E3DC-43A2-CE2E-3B2A-0D4987DB6681}"/>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7">
                <a:extLst>
                  <a:ext uri="{FF2B5EF4-FFF2-40B4-BE49-F238E27FC236}">
                    <a16:creationId xmlns:a16="http://schemas.microsoft.com/office/drawing/2014/main" id="{D090F57C-B77E-EE0B-ECC2-6ED0BFBBB5F4}"/>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3" name="Shape 48">
                <a:extLst>
                  <a:ext uri="{FF2B5EF4-FFF2-40B4-BE49-F238E27FC236}">
                    <a16:creationId xmlns:a16="http://schemas.microsoft.com/office/drawing/2014/main" id="{5D45F0B0-63CB-02E4-D17A-B12345ACAB8C}"/>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4" name="Shape 49">
                <a:extLst>
                  <a:ext uri="{FF2B5EF4-FFF2-40B4-BE49-F238E27FC236}">
                    <a16:creationId xmlns:a16="http://schemas.microsoft.com/office/drawing/2014/main" id="{5724EF3B-11FF-B9B6-5D10-2AE05ABCCC2E}"/>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5" name="Shape 50">
                <a:extLst>
                  <a:ext uri="{FF2B5EF4-FFF2-40B4-BE49-F238E27FC236}">
                    <a16:creationId xmlns:a16="http://schemas.microsoft.com/office/drawing/2014/main" id="{622B109B-827A-1889-9090-6EF66BEC1FDD}"/>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6" name="Shape 51">
                <a:extLst>
                  <a:ext uri="{FF2B5EF4-FFF2-40B4-BE49-F238E27FC236}">
                    <a16:creationId xmlns:a16="http://schemas.microsoft.com/office/drawing/2014/main" id="{1FBDDD06-3935-B609-09A9-41C31EADF899}"/>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7" name="Shape 52">
                <a:extLst>
                  <a:ext uri="{FF2B5EF4-FFF2-40B4-BE49-F238E27FC236}">
                    <a16:creationId xmlns:a16="http://schemas.microsoft.com/office/drawing/2014/main" id="{5A5E029D-7198-97CD-2EBF-DEBA99CDC3BD}"/>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8" name="Shape 53">
                <a:extLst>
                  <a:ext uri="{FF2B5EF4-FFF2-40B4-BE49-F238E27FC236}">
                    <a16:creationId xmlns:a16="http://schemas.microsoft.com/office/drawing/2014/main" id="{B102EF5B-82AC-C01F-39BE-C02ABB1575F2}"/>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56" name="TextBox 55">
            <a:extLst>
              <a:ext uri="{FF2B5EF4-FFF2-40B4-BE49-F238E27FC236}">
                <a16:creationId xmlns:a16="http://schemas.microsoft.com/office/drawing/2014/main" id="{1E5D27F5-F538-177B-544C-21D181E709A0}"/>
              </a:ext>
            </a:extLst>
          </xdr:cNvPr>
          <xdr:cNvSpPr txBox="1"/>
        </xdr:nvSpPr>
        <xdr:spPr>
          <a:xfrm>
            <a:off x="1844526" y="1148607"/>
            <a:ext cx="2554294" cy="294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panose="020F0502020204030203" pitchFamily="34" charset="0"/>
                <a:ea typeface="Lato" panose="020F0502020204030203" pitchFamily="34" charset="0"/>
                <a:cs typeface="Lato" panose="020F0502020204030203" pitchFamily="34" charset="0"/>
              </a:rPr>
              <a:t>TOTAL POPULATION</a:t>
            </a:r>
          </a:p>
        </xdr:txBody>
      </xdr:sp>
      <xdr:sp macro="" textlink="KPI!A8">
        <xdr:nvSpPr>
          <xdr:cNvPr id="57" name="TextBox 56">
            <a:extLst>
              <a:ext uri="{FF2B5EF4-FFF2-40B4-BE49-F238E27FC236}">
                <a16:creationId xmlns:a16="http://schemas.microsoft.com/office/drawing/2014/main" id="{31641FB8-D1EF-499B-8DAA-B6601C3E74CA}"/>
              </a:ext>
            </a:extLst>
          </xdr:cNvPr>
          <xdr:cNvSpPr txBox="1"/>
        </xdr:nvSpPr>
        <xdr:spPr>
          <a:xfrm>
            <a:off x="2248807" y="1476829"/>
            <a:ext cx="2001157" cy="53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13DA16-D1DA-4DBF-9FA8-CDA595D9EB6D}" type="TxLink">
              <a:rPr lang="en-US"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algn="ctr"/>
              <a:t>1470</a:t>
            </a:fld>
            <a:endParaRPr lang="en-IN" sz="26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58" name="TextBox 57">
            <a:extLst>
              <a:ext uri="{FF2B5EF4-FFF2-40B4-BE49-F238E27FC236}">
                <a16:creationId xmlns:a16="http://schemas.microsoft.com/office/drawing/2014/main" id="{E81F152C-D32A-4179-8BA5-6615DB7BAF9B}"/>
              </a:ext>
            </a:extLst>
          </xdr:cNvPr>
          <xdr:cNvSpPr txBox="1"/>
        </xdr:nvSpPr>
        <xdr:spPr>
          <a:xfrm>
            <a:off x="4828887" y="1148608"/>
            <a:ext cx="2145393" cy="312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panose="020F0502020204030203" pitchFamily="34" charset="0"/>
                <a:ea typeface="Lato" panose="020F0502020204030203" pitchFamily="34" charset="0"/>
                <a:cs typeface="Lato" panose="020F0502020204030203" pitchFamily="34" charset="0"/>
              </a:rPr>
              <a:t>ATTRITION</a:t>
            </a:r>
          </a:p>
        </xdr:txBody>
      </xdr:sp>
      <xdr:sp macro="" textlink="KPI!B8">
        <xdr:nvSpPr>
          <xdr:cNvPr id="59" name="TextBox 58">
            <a:extLst>
              <a:ext uri="{FF2B5EF4-FFF2-40B4-BE49-F238E27FC236}">
                <a16:creationId xmlns:a16="http://schemas.microsoft.com/office/drawing/2014/main" id="{8817FEDA-7C69-44F1-8B45-09D515632175}"/>
              </a:ext>
            </a:extLst>
          </xdr:cNvPr>
          <xdr:cNvSpPr txBox="1"/>
        </xdr:nvSpPr>
        <xdr:spPr>
          <a:xfrm>
            <a:off x="5154386" y="1476829"/>
            <a:ext cx="2001157" cy="53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79EB03A-79C5-4CC7-847C-36494006593C}" type="TxLink">
              <a:rPr lang="en-US"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marL="0" indent="0" algn="ctr"/>
              <a:t>237</a:t>
            </a:fld>
            <a:endParaRPr lang="en-IN"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60" name="TextBox 59">
            <a:extLst>
              <a:ext uri="{FF2B5EF4-FFF2-40B4-BE49-F238E27FC236}">
                <a16:creationId xmlns:a16="http://schemas.microsoft.com/office/drawing/2014/main" id="{2022E376-1F9C-4909-9418-E4FCA00251C1}"/>
              </a:ext>
            </a:extLst>
          </xdr:cNvPr>
          <xdr:cNvSpPr txBox="1"/>
        </xdr:nvSpPr>
        <xdr:spPr>
          <a:xfrm>
            <a:off x="7778916" y="1161308"/>
            <a:ext cx="2145392" cy="312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panose="020F0502020204030203" pitchFamily="34" charset="0"/>
                <a:ea typeface="Lato" panose="020F0502020204030203" pitchFamily="34" charset="0"/>
                <a:cs typeface="Lato" panose="020F0502020204030203" pitchFamily="34" charset="0"/>
              </a:rPr>
              <a:t>ACTIVE</a:t>
            </a:r>
            <a:r>
              <a:rPr lang="en-IN" sz="1800" b="1" baseline="0">
                <a:solidFill>
                  <a:srgbClr val="602928"/>
                </a:solidFill>
                <a:latin typeface="Lato" panose="020F0502020204030203" pitchFamily="34" charset="0"/>
                <a:ea typeface="Lato" panose="020F0502020204030203" pitchFamily="34" charset="0"/>
                <a:cs typeface="Lato" panose="020F0502020204030203" pitchFamily="34" charset="0"/>
              </a:rPr>
              <a:t> EMPLOYEES</a:t>
            </a:r>
          </a:p>
        </xdr:txBody>
      </xdr:sp>
      <xdr:sp macro="" textlink="KPI!D8">
        <xdr:nvSpPr>
          <xdr:cNvPr id="61" name="TextBox 60">
            <a:extLst>
              <a:ext uri="{FF2B5EF4-FFF2-40B4-BE49-F238E27FC236}">
                <a16:creationId xmlns:a16="http://schemas.microsoft.com/office/drawing/2014/main" id="{F244944C-A4AE-495E-8A6F-5B47B8E92F3B}"/>
              </a:ext>
            </a:extLst>
          </xdr:cNvPr>
          <xdr:cNvSpPr txBox="1"/>
        </xdr:nvSpPr>
        <xdr:spPr>
          <a:xfrm>
            <a:off x="8104414" y="1489529"/>
            <a:ext cx="2001157" cy="53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0F43F5-4107-47AC-B127-56EF38340B3D}" type="TxLink">
              <a:rPr lang="en-US"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marL="0" indent="0" algn="ctr"/>
              <a:t>1233</a:t>
            </a:fld>
            <a:endParaRPr lang="en-IN"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62" name="TextBox 61">
            <a:extLst>
              <a:ext uri="{FF2B5EF4-FFF2-40B4-BE49-F238E27FC236}">
                <a16:creationId xmlns:a16="http://schemas.microsoft.com/office/drawing/2014/main" id="{BD6D3F6F-A145-4FD7-972B-A006FB61F6FF}"/>
              </a:ext>
            </a:extLst>
          </xdr:cNvPr>
          <xdr:cNvSpPr txBox="1"/>
        </xdr:nvSpPr>
        <xdr:spPr>
          <a:xfrm>
            <a:off x="10728944" y="1154958"/>
            <a:ext cx="2145393" cy="312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panose="020F0502020204030203" pitchFamily="34" charset="0"/>
                <a:ea typeface="Lato" panose="020F0502020204030203" pitchFamily="34" charset="0"/>
                <a:cs typeface="Lato" panose="020F0502020204030203" pitchFamily="34" charset="0"/>
              </a:rPr>
              <a:t>ATTRITION</a:t>
            </a:r>
            <a:r>
              <a:rPr lang="en-IN" sz="1800" b="1" baseline="0">
                <a:solidFill>
                  <a:srgbClr val="602928"/>
                </a:solidFill>
                <a:latin typeface="Lato" panose="020F0502020204030203" pitchFamily="34" charset="0"/>
                <a:ea typeface="Lato" panose="020F0502020204030203" pitchFamily="34" charset="0"/>
                <a:cs typeface="Lato" panose="020F0502020204030203" pitchFamily="34" charset="0"/>
              </a:rPr>
              <a:t> RATE</a:t>
            </a:r>
          </a:p>
        </xdr:txBody>
      </xdr:sp>
      <xdr:sp macro="" textlink="KPI!E8">
        <xdr:nvSpPr>
          <xdr:cNvPr id="63" name="TextBox 62">
            <a:extLst>
              <a:ext uri="{FF2B5EF4-FFF2-40B4-BE49-F238E27FC236}">
                <a16:creationId xmlns:a16="http://schemas.microsoft.com/office/drawing/2014/main" id="{B54FCB08-BC28-4120-A874-546974974751}"/>
              </a:ext>
            </a:extLst>
          </xdr:cNvPr>
          <xdr:cNvSpPr txBox="1"/>
        </xdr:nvSpPr>
        <xdr:spPr>
          <a:xfrm>
            <a:off x="11054443" y="1483179"/>
            <a:ext cx="2001157" cy="53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25B074-0AB4-491B-9423-B5EDAC87CC2D}" type="TxLink">
              <a:rPr lang="en-US"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marL="0" indent="0" algn="ctr"/>
              <a:t>16.12%</a:t>
            </a:fld>
            <a:endParaRPr lang="en-IN"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64" name="TextBox 63">
            <a:extLst>
              <a:ext uri="{FF2B5EF4-FFF2-40B4-BE49-F238E27FC236}">
                <a16:creationId xmlns:a16="http://schemas.microsoft.com/office/drawing/2014/main" id="{EF506C2B-9C14-426C-B1C9-A3BA362B03B8}"/>
              </a:ext>
            </a:extLst>
          </xdr:cNvPr>
          <xdr:cNvSpPr txBox="1"/>
        </xdr:nvSpPr>
        <xdr:spPr>
          <a:xfrm>
            <a:off x="13691673" y="1167658"/>
            <a:ext cx="2145393" cy="312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latin typeface="Lato" panose="020F0502020204030203" pitchFamily="34" charset="0"/>
                <a:ea typeface="Lato" panose="020F0502020204030203" pitchFamily="34" charset="0"/>
                <a:cs typeface="Lato" panose="020F0502020204030203" pitchFamily="34" charset="0"/>
              </a:rPr>
              <a:t>AVERAGE AGE</a:t>
            </a:r>
          </a:p>
        </xdr:txBody>
      </xdr:sp>
      <xdr:sp macro="" textlink="KPI!C8">
        <xdr:nvSpPr>
          <xdr:cNvPr id="65" name="TextBox 64">
            <a:extLst>
              <a:ext uri="{FF2B5EF4-FFF2-40B4-BE49-F238E27FC236}">
                <a16:creationId xmlns:a16="http://schemas.microsoft.com/office/drawing/2014/main" id="{ECE9DA9E-C477-4F98-9920-AAD31B84E439}"/>
              </a:ext>
            </a:extLst>
          </xdr:cNvPr>
          <xdr:cNvSpPr txBox="1"/>
        </xdr:nvSpPr>
        <xdr:spPr>
          <a:xfrm>
            <a:off x="14017171" y="1495879"/>
            <a:ext cx="2001158" cy="53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D843A2-B5CD-405D-B722-EB2A7F200F82}" type="TxLink">
              <a:rPr lang="en-US"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marL="0" indent="0" algn="ctr"/>
              <a:t>37</a:t>
            </a:fld>
            <a:endParaRPr lang="en-IN" sz="2600" b="1" i="0" u="none" strike="noStrike">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pic>
        <xdr:nvPicPr>
          <xdr:cNvPr id="66" name="image4.png">
            <a:extLst>
              <a:ext uri="{FF2B5EF4-FFF2-40B4-BE49-F238E27FC236}">
                <a16:creationId xmlns:a16="http://schemas.microsoft.com/office/drawing/2014/main" id="{F35786F8-9579-4F01-9CCE-C79CFDA01E7F}"/>
              </a:ext>
            </a:extLst>
          </xdr:cNvPr>
          <xdr:cNvPicPr preferRelativeResize="0"/>
        </xdr:nvPicPr>
        <xdr:blipFill>
          <a:blip xmlns:r="http://schemas.openxmlformats.org/officeDocument/2006/relationships" r:embed="rId1" cstate="print"/>
          <a:stretch>
            <a:fillRect/>
          </a:stretch>
        </xdr:blipFill>
        <xdr:spPr>
          <a:xfrm>
            <a:off x="4254499" y="1180821"/>
            <a:ext cx="472216" cy="398431"/>
          </a:xfrm>
          <a:prstGeom prst="rect">
            <a:avLst/>
          </a:prstGeom>
          <a:noFill/>
        </xdr:spPr>
      </xdr:pic>
      <xdr:pic>
        <xdr:nvPicPr>
          <xdr:cNvPr id="67" name="image5.png">
            <a:extLst>
              <a:ext uri="{FF2B5EF4-FFF2-40B4-BE49-F238E27FC236}">
                <a16:creationId xmlns:a16="http://schemas.microsoft.com/office/drawing/2014/main" id="{AD5B5123-5B86-4F1B-883F-FA1E78F2677C}"/>
              </a:ext>
            </a:extLst>
          </xdr:cNvPr>
          <xdr:cNvPicPr preferRelativeResize="0"/>
        </xdr:nvPicPr>
        <xdr:blipFill>
          <a:blip xmlns:r="http://schemas.openxmlformats.org/officeDocument/2006/relationships" r:embed="rId2" cstate="print"/>
          <a:stretch>
            <a:fillRect/>
          </a:stretch>
        </xdr:blipFill>
        <xdr:spPr>
          <a:xfrm>
            <a:off x="10124121" y="1188459"/>
            <a:ext cx="461909" cy="363876"/>
          </a:xfrm>
          <a:prstGeom prst="rect">
            <a:avLst/>
          </a:prstGeom>
          <a:noFill/>
        </xdr:spPr>
      </xdr:pic>
      <xdr:pic>
        <xdr:nvPicPr>
          <xdr:cNvPr id="68" name="image2.png">
            <a:extLst>
              <a:ext uri="{FF2B5EF4-FFF2-40B4-BE49-F238E27FC236}">
                <a16:creationId xmlns:a16="http://schemas.microsoft.com/office/drawing/2014/main" id="{A068AD09-1174-445C-AD8F-8FF5C3082AD4}"/>
              </a:ext>
            </a:extLst>
          </xdr:cNvPr>
          <xdr:cNvPicPr preferRelativeResize="0"/>
        </xdr:nvPicPr>
        <xdr:blipFill>
          <a:blip xmlns:r="http://schemas.openxmlformats.org/officeDocument/2006/relationships" r:embed="rId3" cstate="print"/>
          <a:stretch>
            <a:fillRect/>
          </a:stretch>
        </xdr:blipFill>
        <xdr:spPr>
          <a:xfrm>
            <a:off x="13056029" y="1181324"/>
            <a:ext cx="469008" cy="399550"/>
          </a:xfrm>
          <a:prstGeom prst="rect">
            <a:avLst/>
          </a:prstGeom>
          <a:noFill/>
        </xdr:spPr>
      </xdr:pic>
      <xdr:pic>
        <xdr:nvPicPr>
          <xdr:cNvPr id="69" name="image6.png">
            <a:extLst>
              <a:ext uri="{FF2B5EF4-FFF2-40B4-BE49-F238E27FC236}">
                <a16:creationId xmlns:a16="http://schemas.microsoft.com/office/drawing/2014/main" id="{3B728118-5BD8-4F06-971E-593E6A1EAB7B}"/>
              </a:ext>
            </a:extLst>
          </xdr:cNvPr>
          <xdr:cNvPicPr preferRelativeResize="0"/>
        </xdr:nvPicPr>
        <xdr:blipFill>
          <a:blip xmlns:r="http://schemas.openxmlformats.org/officeDocument/2006/relationships" r:embed="rId4" cstate="print"/>
          <a:stretch>
            <a:fillRect/>
          </a:stretch>
        </xdr:blipFill>
        <xdr:spPr>
          <a:xfrm>
            <a:off x="16073553" y="1181323"/>
            <a:ext cx="409432" cy="392416"/>
          </a:xfrm>
          <a:prstGeom prst="rect">
            <a:avLst/>
          </a:prstGeom>
          <a:noFill/>
        </xdr:spPr>
      </xdr:pic>
      <xdr:pic>
        <xdr:nvPicPr>
          <xdr:cNvPr id="70" name="image7.png">
            <a:extLst>
              <a:ext uri="{FF2B5EF4-FFF2-40B4-BE49-F238E27FC236}">
                <a16:creationId xmlns:a16="http://schemas.microsoft.com/office/drawing/2014/main" id="{2CA46B3E-D467-4299-9238-3C3572F5757D}"/>
              </a:ext>
            </a:extLst>
          </xdr:cNvPr>
          <xdr:cNvPicPr preferRelativeResize="0"/>
        </xdr:nvPicPr>
        <xdr:blipFill>
          <a:blip xmlns:r="http://schemas.openxmlformats.org/officeDocument/2006/relationships" r:embed="rId5" cstate="print"/>
          <a:stretch>
            <a:fillRect/>
          </a:stretch>
        </xdr:blipFill>
        <xdr:spPr>
          <a:xfrm>
            <a:off x="7013846" y="1179254"/>
            <a:ext cx="617483" cy="522912"/>
          </a:xfrm>
          <a:prstGeom prst="rect">
            <a:avLst/>
          </a:prstGeom>
          <a:noFill/>
        </xdr:spPr>
      </xdr:pic>
      <xdr:sp macro="" textlink="">
        <xdr:nvSpPr>
          <xdr:cNvPr id="71" name="TextBox 70">
            <a:extLst>
              <a:ext uri="{FF2B5EF4-FFF2-40B4-BE49-F238E27FC236}">
                <a16:creationId xmlns:a16="http://schemas.microsoft.com/office/drawing/2014/main" id="{6C94F001-C39F-886E-36D5-13E76C82562C}"/>
              </a:ext>
            </a:extLst>
          </xdr:cNvPr>
          <xdr:cNvSpPr txBox="1"/>
        </xdr:nvSpPr>
        <xdr:spPr>
          <a:xfrm>
            <a:off x="2710158" y="354611"/>
            <a:ext cx="7572442" cy="619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4200" b="1">
                <a:solidFill>
                  <a:schemeClr val="accent1">
                    <a:lumMod val="75000"/>
                  </a:schemeClr>
                </a:solidFill>
                <a:latin typeface="Lato" panose="020F0502020204030203" pitchFamily="34" charset="0"/>
                <a:ea typeface="Lato" panose="020F0502020204030203" pitchFamily="34" charset="0"/>
                <a:cs typeface="Lato" panose="020F0502020204030203" pitchFamily="34" charset="0"/>
              </a:rPr>
              <a:t>HR ANALYTICS DASHBOARD</a:t>
            </a:r>
          </a:p>
        </xdr:txBody>
      </xdr:sp>
      <xdr:pic>
        <xdr:nvPicPr>
          <xdr:cNvPr id="72" name="image1.png">
            <a:extLst>
              <a:ext uri="{FF2B5EF4-FFF2-40B4-BE49-F238E27FC236}">
                <a16:creationId xmlns:a16="http://schemas.microsoft.com/office/drawing/2014/main" id="{56EEECB0-836D-48DD-B94A-0037B809F5C8}"/>
              </a:ext>
            </a:extLst>
          </xdr:cNvPr>
          <xdr:cNvPicPr preferRelativeResize="0"/>
        </xdr:nvPicPr>
        <xdr:blipFill>
          <a:blip xmlns:r="http://schemas.openxmlformats.org/officeDocument/2006/relationships" r:embed="rId6" cstate="print"/>
          <a:stretch>
            <a:fillRect/>
          </a:stretch>
        </xdr:blipFill>
        <xdr:spPr>
          <a:xfrm>
            <a:off x="2111994" y="372478"/>
            <a:ext cx="596515" cy="577273"/>
          </a:xfrm>
          <a:prstGeom prst="rect">
            <a:avLst/>
          </a:prstGeom>
          <a:noFill/>
        </xdr:spPr>
      </xdr:pic>
      <xdr:pic>
        <xdr:nvPicPr>
          <xdr:cNvPr id="73" name="image3.png">
            <a:extLst>
              <a:ext uri="{FF2B5EF4-FFF2-40B4-BE49-F238E27FC236}">
                <a16:creationId xmlns:a16="http://schemas.microsoft.com/office/drawing/2014/main" id="{158A4337-666A-4631-BB42-82BEC1924057}"/>
              </a:ext>
            </a:extLst>
          </xdr:cNvPr>
          <xdr:cNvPicPr preferRelativeResize="0"/>
        </xdr:nvPicPr>
        <xdr:blipFill>
          <a:blip xmlns:r="http://schemas.openxmlformats.org/officeDocument/2006/relationships" r:embed="rId7" cstate="print"/>
          <a:stretch>
            <a:fillRect/>
          </a:stretch>
        </xdr:blipFill>
        <xdr:spPr>
          <a:xfrm>
            <a:off x="10649857" y="344989"/>
            <a:ext cx="723900" cy="628650"/>
          </a:xfrm>
          <a:prstGeom prst="rect">
            <a:avLst/>
          </a:prstGeom>
          <a:noFill/>
        </xdr:spPr>
      </xdr:pic>
      <xdr:sp macro="" textlink="">
        <xdr:nvSpPr>
          <xdr:cNvPr id="74" name="TextBox 73">
            <a:extLst>
              <a:ext uri="{FF2B5EF4-FFF2-40B4-BE49-F238E27FC236}">
                <a16:creationId xmlns:a16="http://schemas.microsoft.com/office/drawing/2014/main" id="{89A7CBF4-07D9-1733-3E38-B787124D5397}"/>
              </a:ext>
            </a:extLst>
          </xdr:cNvPr>
          <xdr:cNvSpPr txBox="1"/>
        </xdr:nvSpPr>
        <xdr:spPr>
          <a:xfrm>
            <a:off x="11344234" y="258398"/>
            <a:ext cx="2229098" cy="849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rgbClr val="602928"/>
                </a:solidFill>
                <a:latin typeface="Lato" panose="020F0502020204030203" pitchFamily="34" charset="0"/>
                <a:ea typeface="Lato" panose="020F0502020204030203" pitchFamily="34" charset="0"/>
                <a:cs typeface="Lato" panose="020F0502020204030203" pitchFamily="34" charset="0"/>
              </a:rPr>
              <a:t>JOB</a:t>
            </a:r>
            <a:br>
              <a:rPr lang="en-IN" sz="1600" b="1">
                <a:solidFill>
                  <a:srgbClr val="602928"/>
                </a:solidFill>
                <a:latin typeface="Lato" panose="020F0502020204030203" pitchFamily="34" charset="0"/>
                <a:ea typeface="Lato" panose="020F0502020204030203" pitchFamily="34" charset="0"/>
                <a:cs typeface="Lato" panose="020F0502020204030203" pitchFamily="34" charset="0"/>
              </a:rPr>
            </a:br>
            <a:r>
              <a:rPr lang="en-IN" sz="1600" b="1">
                <a:solidFill>
                  <a:srgbClr val="602928"/>
                </a:solidFill>
                <a:latin typeface="Lato" panose="020F0502020204030203" pitchFamily="34" charset="0"/>
                <a:ea typeface="Lato" panose="020F0502020204030203" pitchFamily="34" charset="0"/>
                <a:cs typeface="Lato" panose="020F0502020204030203" pitchFamily="34" charset="0"/>
              </a:rPr>
              <a:t>SATISFACTION</a:t>
            </a:r>
            <a:br>
              <a:rPr lang="en-IN" sz="1600" b="1">
                <a:solidFill>
                  <a:srgbClr val="602928"/>
                </a:solidFill>
                <a:latin typeface="Lato" panose="020F0502020204030203" pitchFamily="34" charset="0"/>
                <a:ea typeface="Lato" panose="020F0502020204030203" pitchFamily="34" charset="0"/>
                <a:cs typeface="Lato" panose="020F0502020204030203" pitchFamily="34" charset="0"/>
              </a:rPr>
            </a:br>
            <a:r>
              <a:rPr lang="en-IN" sz="1600" b="1">
                <a:solidFill>
                  <a:srgbClr val="602928"/>
                </a:solidFill>
                <a:latin typeface="Lato" panose="020F0502020204030203" pitchFamily="34" charset="0"/>
                <a:ea typeface="Lato" panose="020F0502020204030203" pitchFamily="34" charset="0"/>
                <a:cs typeface="Lato" panose="020F0502020204030203" pitchFamily="34" charset="0"/>
              </a:rPr>
              <a:t>RATING</a:t>
            </a:r>
          </a:p>
        </xdr:txBody>
      </xdr:sp>
      <xdr:graphicFrame macro="">
        <xdr:nvGraphicFramePr>
          <xdr:cNvPr id="75" name="Chart 74">
            <a:extLst>
              <a:ext uri="{FF2B5EF4-FFF2-40B4-BE49-F238E27FC236}">
                <a16:creationId xmlns:a16="http://schemas.microsoft.com/office/drawing/2014/main" id="{E49FF571-7B44-4585-B095-5E8944F61351}"/>
              </a:ext>
            </a:extLst>
          </xdr:cNvPr>
          <xdr:cNvGraphicFramePr>
            <a:graphicFrameLocks/>
          </xdr:cNvGraphicFramePr>
        </xdr:nvGraphicFramePr>
        <xdr:xfrm>
          <a:off x="12801987" y="181429"/>
          <a:ext cx="1542693" cy="1107814"/>
        </xdr:xfrm>
        <a:graphic>
          <a:graphicData uri="http://schemas.openxmlformats.org/drawingml/2006/chart">
            <c:chart xmlns:c="http://schemas.openxmlformats.org/drawingml/2006/chart" xmlns:r="http://schemas.openxmlformats.org/officeDocument/2006/relationships" r:id="rId8"/>
          </a:graphicData>
        </a:graphic>
      </xdr:graphicFrame>
      <xdr:sp macro="" textlink="Rating!$B$6">
        <xdr:nvSpPr>
          <xdr:cNvPr id="76" name="TextBox 75">
            <a:extLst>
              <a:ext uri="{FF2B5EF4-FFF2-40B4-BE49-F238E27FC236}">
                <a16:creationId xmlns:a16="http://schemas.microsoft.com/office/drawing/2014/main" id="{468C0941-B987-56E7-F09E-E474FA55C8C3}"/>
              </a:ext>
            </a:extLst>
          </xdr:cNvPr>
          <xdr:cNvSpPr txBox="1"/>
        </xdr:nvSpPr>
        <xdr:spPr>
          <a:xfrm>
            <a:off x="13340771" y="468690"/>
            <a:ext cx="588543" cy="51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3022B4-D79E-47D0-90A6-73DE3168C255}" type="TxLink">
              <a:rPr lang="en-US" sz="16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a:t>2.6</a:t>
            </a:fld>
            <a:endParaRPr lang="en-IN" sz="16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graphicFrame macro="">
        <xdr:nvGraphicFramePr>
          <xdr:cNvPr id="78" name="Chart 77">
            <a:extLst>
              <a:ext uri="{FF2B5EF4-FFF2-40B4-BE49-F238E27FC236}">
                <a16:creationId xmlns:a16="http://schemas.microsoft.com/office/drawing/2014/main" id="{5AC259AC-E070-46C7-8532-FE3A9C9441C1}"/>
              </a:ext>
            </a:extLst>
          </xdr:cNvPr>
          <xdr:cNvGraphicFramePr>
            <a:graphicFrameLocks/>
          </xdr:cNvGraphicFramePr>
        </xdr:nvGraphicFramePr>
        <xdr:xfrm>
          <a:off x="14219603" y="277639"/>
          <a:ext cx="2083130" cy="754579"/>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79" name="Freeform: Shape 78">
            <a:extLst>
              <a:ext uri="{FF2B5EF4-FFF2-40B4-BE49-F238E27FC236}">
                <a16:creationId xmlns:a16="http://schemas.microsoft.com/office/drawing/2014/main" id="{3F8D1BF4-2F0A-491E-81C2-3C403533EF1D}"/>
              </a:ext>
            </a:extLst>
          </xdr:cNvPr>
          <xdr:cNvSpPr/>
        </xdr:nvSpPr>
        <xdr:spPr>
          <a:xfrm>
            <a:off x="14325435" y="354611"/>
            <a:ext cx="1871464" cy="581396"/>
          </a:xfrm>
          <a:custGeom>
            <a:avLst/>
            <a:gdLst>
              <a:gd name="connsiteX0" fmla="*/ 3312160 w 3850640"/>
              <a:gd name="connsiteY0" fmla="*/ 71120 h 1059180"/>
              <a:gd name="connsiteX1" fmla="*/ 3204232 w 3850640"/>
              <a:gd name="connsiteY1" fmla="*/ 420391 h 1059180"/>
              <a:gd name="connsiteX2" fmla="*/ 2854961 w 3850640"/>
              <a:gd name="connsiteY2" fmla="*/ 420389 h 1059180"/>
              <a:gd name="connsiteX3" fmla="*/ 3137528 w 3850640"/>
              <a:gd name="connsiteY3" fmla="*/ 636248 h 1059180"/>
              <a:gd name="connsiteX4" fmla="*/ 3029595 w 3850640"/>
              <a:gd name="connsiteY4" fmla="*/ 985518 h 1059180"/>
              <a:gd name="connsiteX5" fmla="*/ 3312160 w 3850640"/>
              <a:gd name="connsiteY5" fmla="*/ 769655 h 1059180"/>
              <a:gd name="connsiteX6" fmla="*/ 3594725 w 3850640"/>
              <a:gd name="connsiteY6" fmla="*/ 985518 h 1059180"/>
              <a:gd name="connsiteX7" fmla="*/ 3486792 w 3850640"/>
              <a:gd name="connsiteY7" fmla="*/ 636248 h 1059180"/>
              <a:gd name="connsiteX8" fmla="*/ 3769359 w 3850640"/>
              <a:gd name="connsiteY8" fmla="*/ 420389 h 1059180"/>
              <a:gd name="connsiteX9" fmla="*/ 3420088 w 3850640"/>
              <a:gd name="connsiteY9" fmla="*/ 420391 h 1059180"/>
              <a:gd name="connsiteX10" fmla="*/ 2380826 w 3850640"/>
              <a:gd name="connsiteY10" fmla="*/ 71120 h 1059180"/>
              <a:gd name="connsiteX11" fmla="*/ 2272898 w 3850640"/>
              <a:gd name="connsiteY11" fmla="*/ 420391 h 1059180"/>
              <a:gd name="connsiteX12" fmla="*/ 1923627 w 3850640"/>
              <a:gd name="connsiteY12" fmla="*/ 420389 h 1059180"/>
              <a:gd name="connsiteX13" fmla="*/ 2206194 w 3850640"/>
              <a:gd name="connsiteY13" fmla="*/ 636248 h 1059180"/>
              <a:gd name="connsiteX14" fmla="*/ 2098261 w 3850640"/>
              <a:gd name="connsiteY14" fmla="*/ 985518 h 1059180"/>
              <a:gd name="connsiteX15" fmla="*/ 2380826 w 3850640"/>
              <a:gd name="connsiteY15" fmla="*/ 769655 h 1059180"/>
              <a:gd name="connsiteX16" fmla="*/ 2663391 w 3850640"/>
              <a:gd name="connsiteY16" fmla="*/ 985518 h 1059180"/>
              <a:gd name="connsiteX17" fmla="*/ 2555458 w 3850640"/>
              <a:gd name="connsiteY17" fmla="*/ 636248 h 1059180"/>
              <a:gd name="connsiteX18" fmla="*/ 2838025 w 3850640"/>
              <a:gd name="connsiteY18" fmla="*/ 420389 h 1059180"/>
              <a:gd name="connsiteX19" fmla="*/ 2488754 w 3850640"/>
              <a:gd name="connsiteY19" fmla="*/ 420391 h 1059180"/>
              <a:gd name="connsiteX20" fmla="*/ 1449493 w 3850640"/>
              <a:gd name="connsiteY20" fmla="*/ 71120 h 1059180"/>
              <a:gd name="connsiteX21" fmla="*/ 1341565 w 3850640"/>
              <a:gd name="connsiteY21" fmla="*/ 420391 h 1059180"/>
              <a:gd name="connsiteX22" fmla="*/ 992294 w 3850640"/>
              <a:gd name="connsiteY22" fmla="*/ 420389 h 1059180"/>
              <a:gd name="connsiteX23" fmla="*/ 1274861 w 3850640"/>
              <a:gd name="connsiteY23" fmla="*/ 636248 h 1059180"/>
              <a:gd name="connsiteX24" fmla="*/ 1166928 w 3850640"/>
              <a:gd name="connsiteY24" fmla="*/ 985518 h 1059180"/>
              <a:gd name="connsiteX25" fmla="*/ 1449493 w 3850640"/>
              <a:gd name="connsiteY25" fmla="*/ 769655 h 1059180"/>
              <a:gd name="connsiteX26" fmla="*/ 1732058 w 3850640"/>
              <a:gd name="connsiteY26" fmla="*/ 985518 h 1059180"/>
              <a:gd name="connsiteX27" fmla="*/ 1624125 w 3850640"/>
              <a:gd name="connsiteY27" fmla="*/ 636248 h 1059180"/>
              <a:gd name="connsiteX28" fmla="*/ 1906692 w 3850640"/>
              <a:gd name="connsiteY28" fmla="*/ 420389 h 1059180"/>
              <a:gd name="connsiteX29" fmla="*/ 1557421 w 3850640"/>
              <a:gd name="connsiteY29" fmla="*/ 420391 h 1059180"/>
              <a:gd name="connsiteX30" fmla="*/ 518160 w 3850640"/>
              <a:gd name="connsiteY30" fmla="*/ 71120 h 1059180"/>
              <a:gd name="connsiteX31" fmla="*/ 410232 w 3850640"/>
              <a:gd name="connsiteY31" fmla="*/ 420391 h 1059180"/>
              <a:gd name="connsiteX32" fmla="*/ 60961 w 3850640"/>
              <a:gd name="connsiteY32" fmla="*/ 420389 h 1059180"/>
              <a:gd name="connsiteX33" fmla="*/ 343528 w 3850640"/>
              <a:gd name="connsiteY33" fmla="*/ 636248 h 1059180"/>
              <a:gd name="connsiteX34" fmla="*/ 235595 w 3850640"/>
              <a:gd name="connsiteY34" fmla="*/ 985518 h 1059180"/>
              <a:gd name="connsiteX35" fmla="*/ 518160 w 3850640"/>
              <a:gd name="connsiteY35" fmla="*/ 769655 h 1059180"/>
              <a:gd name="connsiteX36" fmla="*/ 800725 w 3850640"/>
              <a:gd name="connsiteY36" fmla="*/ 985518 h 1059180"/>
              <a:gd name="connsiteX37" fmla="*/ 692792 w 3850640"/>
              <a:gd name="connsiteY37" fmla="*/ 636248 h 1059180"/>
              <a:gd name="connsiteX38" fmla="*/ 975359 w 3850640"/>
              <a:gd name="connsiteY38" fmla="*/ 420389 h 1059180"/>
              <a:gd name="connsiteX39" fmla="*/ 626088 w 3850640"/>
              <a:gd name="connsiteY39" fmla="*/ 420391 h 1059180"/>
              <a:gd name="connsiteX40" fmla="*/ 0 w 3850640"/>
              <a:gd name="connsiteY40" fmla="*/ 0 h 1059180"/>
              <a:gd name="connsiteX41" fmla="*/ 3850640 w 3850640"/>
              <a:gd name="connsiteY41" fmla="*/ 0 h 1059180"/>
              <a:gd name="connsiteX42" fmla="*/ 3850640 w 3850640"/>
              <a:gd name="connsiteY42" fmla="*/ 1059180 h 1059180"/>
              <a:gd name="connsiteX43" fmla="*/ 0 w 3850640"/>
              <a:gd name="connsiteY43" fmla="*/ 1059180 h 1059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850640" h="1059180">
                <a:moveTo>
                  <a:pt x="3312160" y="71120"/>
                </a:moveTo>
                <a:lnTo>
                  <a:pt x="3204232" y="420391"/>
                </a:lnTo>
                <a:lnTo>
                  <a:pt x="2854961" y="420389"/>
                </a:lnTo>
                <a:lnTo>
                  <a:pt x="3137528" y="636248"/>
                </a:lnTo>
                <a:lnTo>
                  <a:pt x="3029595" y="985518"/>
                </a:lnTo>
                <a:lnTo>
                  <a:pt x="3312160" y="769655"/>
                </a:lnTo>
                <a:lnTo>
                  <a:pt x="3594725" y="985518"/>
                </a:lnTo>
                <a:lnTo>
                  <a:pt x="3486792" y="636248"/>
                </a:lnTo>
                <a:lnTo>
                  <a:pt x="3769359" y="420389"/>
                </a:lnTo>
                <a:lnTo>
                  <a:pt x="3420088" y="420391"/>
                </a:lnTo>
                <a:close/>
                <a:moveTo>
                  <a:pt x="2380826" y="71120"/>
                </a:moveTo>
                <a:lnTo>
                  <a:pt x="2272898" y="420391"/>
                </a:lnTo>
                <a:lnTo>
                  <a:pt x="1923627" y="420389"/>
                </a:lnTo>
                <a:lnTo>
                  <a:pt x="2206194" y="636248"/>
                </a:lnTo>
                <a:lnTo>
                  <a:pt x="2098261" y="985518"/>
                </a:lnTo>
                <a:lnTo>
                  <a:pt x="2380826" y="769655"/>
                </a:lnTo>
                <a:lnTo>
                  <a:pt x="2663391" y="985518"/>
                </a:lnTo>
                <a:lnTo>
                  <a:pt x="2555458" y="636248"/>
                </a:lnTo>
                <a:lnTo>
                  <a:pt x="2838025" y="420389"/>
                </a:lnTo>
                <a:lnTo>
                  <a:pt x="2488754" y="420391"/>
                </a:lnTo>
                <a:close/>
                <a:moveTo>
                  <a:pt x="1449493" y="71120"/>
                </a:moveTo>
                <a:lnTo>
                  <a:pt x="1341565" y="420391"/>
                </a:lnTo>
                <a:lnTo>
                  <a:pt x="992294" y="420389"/>
                </a:lnTo>
                <a:lnTo>
                  <a:pt x="1274861" y="636248"/>
                </a:lnTo>
                <a:lnTo>
                  <a:pt x="1166928" y="985518"/>
                </a:lnTo>
                <a:lnTo>
                  <a:pt x="1449493" y="769655"/>
                </a:lnTo>
                <a:lnTo>
                  <a:pt x="1732058" y="985518"/>
                </a:lnTo>
                <a:lnTo>
                  <a:pt x="1624125" y="636248"/>
                </a:lnTo>
                <a:lnTo>
                  <a:pt x="1906692" y="420389"/>
                </a:lnTo>
                <a:lnTo>
                  <a:pt x="1557421" y="420391"/>
                </a:lnTo>
                <a:close/>
                <a:moveTo>
                  <a:pt x="518160" y="71120"/>
                </a:moveTo>
                <a:lnTo>
                  <a:pt x="410232" y="420391"/>
                </a:lnTo>
                <a:lnTo>
                  <a:pt x="60961" y="420389"/>
                </a:lnTo>
                <a:lnTo>
                  <a:pt x="343528" y="636248"/>
                </a:lnTo>
                <a:lnTo>
                  <a:pt x="235595" y="985518"/>
                </a:lnTo>
                <a:lnTo>
                  <a:pt x="518160" y="769655"/>
                </a:lnTo>
                <a:lnTo>
                  <a:pt x="800725" y="985518"/>
                </a:lnTo>
                <a:lnTo>
                  <a:pt x="692792" y="636248"/>
                </a:lnTo>
                <a:lnTo>
                  <a:pt x="975359" y="420389"/>
                </a:lnTo>
                <a:lnTo>
                  <a:pt x="626088" y="420391"/>
                </a:lnTo>
                <a:close/>
                <a:moveTo>
                  <a:pt x="0" y="0"/>
                </a:moveTo>
                <a:lnTo>
                  <a:pt x="3850640" y="0"/>
                </a:lnTo>
                <a:lnTo>
                  <a:pt x="3850640" y="1059180"/>
                </a:lnTo>
                <a:lnTo>
                  <a:pt x="0" y="105918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noFill/>
            </a:endParaRPr>
          </a:p>
        </xdr:txBody>
      </xdr:sp>
      <xdr:grpSp>
        <xdr:nvGrpSpPr>
          <xdr:cNvPr id="107" name="Group 106">
            <a:extLst>
              <a:ext uri="{FF2B5EF4-FFF2-40B4-BE49-F238E27FC236}">
                <a16:creationId xmlns:a16="http://schemas.microsoft.com/office/drawing/2014/main" id="{394B73D1-9155-7F5D-3B4B-316500BAA4DD}"/>
              </a:ext>
            </a:extLst>
          </xdr:cNvPr>
          <xdr:cNvGrpSpPr/>
        </xdr:nvGrpSpPr>
        <xdr:grpSpPr>
          <a:xfrm>
            <a:off x="2015781" y="3456763"/>
            <a:ext cx="4072180" cy="1363517"/>
            <a:chOff x="17577955" y="3838864"/>
            <a:chExt cx="4060635" cy="1373138"/>
          </a:xfrm>
        </xdr:grpSpPr>
        <xdr:grpSp>
          <xdr:nvGrpSpPr>
            <xdr:cNvPr id="98" name="Group 97">
              <a:extLst>
                <a:ext uri="{FF2B5EF4-FFF2-40B4-BE49-F238E27FC236}">
                  <a16:creationId xmlns:a16="http://schemas.microsoft.com/office/drawing/2014/main" id="{46270412-1333-45E9-BB0C-4E85F59070FF}"/>
                </a:ext>
              </a:extLst>
            </xdr:cNvPr>
            <xdr:cNvGrpSpPr/>
          </xdr:nvGrpSpPr>
          <xdr:grpSpPr>
            <a:xfrm>
              <a:off x="17577955" y="3838864"/>
              <a:ext cx="4060635" cy="1373138"/>
              <a:chOff x="2010834" y="3408166"/>
              <a:chExt cx="4060635" cy="1373138"/>
            </a:xfrm>
          </xdr:grpSpPr>
          <xdr:grpSp>
            <xdr:nvGrpSpPr>
              <xdr:cNvPr id="99" name="Group 98">
                <a:extLst>
                  <a:ext uri="{FF2B5EF4-FFF2-40B4-BE49-F238E27FC236}">
                    <a16:creationId xmlns:a16="http://schemas.microsoft.com/office/drawing/2014/main" id="{5795A581-2C77-F5A8-C80E-164EC8BB529A}"/>
                  </a:ext>
                </a:extLst>
              </xdr:cNvPr>
              <xdr:cNvGrpSpPr/>
            </xdr:nvGrpSpPr>
            <xdr:grpSpPr>
              <a:xfrm>
                <a:off x="2010834" y="3408166"/>
                <a:ext cx="4060635" cy="1373138"/>
                <a:chOff x="2010834" y="3408166"/>
                <a:chExt cx="4060635" cy="1373138"/>
              </a:xfrm>
            </xdr:grpSpPr>
            <xdr:graphicFrame macro="">
              <xdr:nvGraphicFramePr>
                <xdr:cNvPr id="103" name="Chart 102">
                  <a:extLst>
                    <a:ext uri="{FF2B5EF4-FFF2-40B4-BE49-F238E27FC236}">
                      <a16:creationId xmlns:a16="http://schemas.microsoft.com/office/drawing/2014/main" id="{9995E933-AAB8-17CD-4195-595CAF72ED2D}"/>
                    </a:ext>
                  </a:extLst>
                </xdr:cNvPr>
                <xdr:cNvGraphicFramePr>
                  <a:graphicFrameLocks/>
                </xdr:cNvGraphicFramePr>
              </xdr:nvGraphicFramePr>
              <xdr:xfrm>
                <a:off x="2010834" y="3408166"/>
                <a:ext cx="1414317" cy="1373138"/>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04" name="Chart 103">
                  <a:extLst>
                    <a:ext uri="{FF2B5EF4-FFF2-40B4-BE49-F238E27FC236}">
                      <a16:creationId xmlns:a16="http://schemas.microsoft.com/office/drawing/2014/main" id="{7F8C2490-09B7-DF72-65FF-7EBF4B3E2AF2}"/>
                    </a:ext>
                  </a:extLst>
                </xdr:cNvPr>
                <xdr:cNvGraphicFramePr>
                  <a:graphicFrameLocks/>
                </xdr:cNvGraphicFramePr>
              </xdr:nvGraphicFramePr>
              <xdr:xfrm>
                <a:off x="4656669" y="3408935"/>
                <a:ext cx="1414800" cy="1371600"/>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100" name="Group 99">
                <a:extLst>
                  <a:ext uri="{FF2B5EF4-FFF2-40B4-BE49-F238E27FC236}">
                    <a16:creationId xmlns:a16="http://schemas.microsoft.com/office/drawing/2014/main" id="{6C35AA54-2E7A-23AA-8267-85022C04CA5D}"/>
                  </a:ext>
                </a:extLst>
              </xdr:cNvPr>
              <xdr:cNvGrpSpPr/>
            </xdr:nvGrpSpPr>
            <xdr:grpSpPr>
              <a:xfrm>
                <a:off x="3251967" y="3725114"/>
                <a:ext cx="1551364" cy="720000"/>
                <a:chOff x="3251967" y="3725114"/>
                <a:chExt cx="1551364" cy="720000"/>
              </a:xfrm>
            </xdr:grpSpPr>
            <xdr:pic>
              <xdr:nvPicPr>
                <xdr:cNvPr id="101" name="Graphic 100" descr="Male profile">
                  <a:extLst>
                    <a:ext uri="{FF2B5EF4-FFF2-40B4-BE49-F238E27FC236}">
                      <a16:creationId xmlns:a16="http://schemas.microsoft.com/office/drawing/2014/main" id="{4F5AE46D-C471-F48A-6472-FD873B228D8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83331" y="3725114"/>
                  <a:ext cx="720000" cy="720000"/>
                </a:xfrm>
                <a:prstGeom prst="rect">
                  <a:avLst/>
                </a:prstGeom>
              </xdr:spPr>
            </xdr:pic>
            <xdr:pic>
              <xdr:nvPicPr>
                <xdr:cNvPr id="102" name="Graphic 101" descr="Female Profile">
                  <a:extLst>
                    <a:ext uri="{FF2B5EF4-FFF2-40B4-BE49-F238E27FC236}">
                      <a16:creationId xmlns:a16="http://schemas.microsoft.com/office/drawing/2014/main" id="{DF430BD1-490B-709A-8423-35ED29CC55C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51967" y="3725114"/>
                  <a:ext cx="720000" cy="720000"/>
                </a:xfrm>
                <a:prstGeom prst="rect">
                  <a:avLst/>
                </a:prstGeom>
              </xdr:spPr>
            </xdr:pic>
          </xdr:grpSp>
        </xdr:grpSp>
        <xdr:sp macro="" textlink="Gender!$B$9">
          <xdr:nvSpPr>
            <xdr:cNvPr id="105" name="TextBox 104">
              <a:extLst>
                <a:ext uri="{FF2B5EF4-FFF2-40B4-BE49-F238E27FC236}">
                  <a16:creationId xmlns:a16="http://schemas.microsoft.com/office/drawing/2014/main" id="{D19D1359-8F62-4087-BE22-EA91B1DEDDD7}"/>
                </a:ext>
              </a:extLst>
            </xdr:cNvPr>
            <xdr:cNvSpPr txBox="1"/>
          </xdr:nvSpPr>
          <xdr:spPr>
            <a:xfrm>
              <a:off x="18001289" y="4348788"/>
              <a:ext cx="586893"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8EF39C-1375-4136-A109-608A5926037A}" type="TxLink">
                <a:rPr lang="en-US" sz="18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marL="0" indent="0"/>
                <a:t>588</a:t>
              </a:fld>
              <a:endParaRPr lang="en-IN" sz="1800" b="1" i="0" u="none" strike="noStrike">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sp macro="" textlink="Gender!$B$10">
          <xdr:nvSpPr>
            <xdr:cNvPr id="106" name="TextBox 105">
              <a:extLst>
                <a:ext uri="{FF2B5EF4-FFF2-40B4-BE49-F238E27FC236}">
                  <a16:creationId xmlns:a16="http://schemas.microsoft.com/office/drawing/2014/main" id="{60BB4BF8-C545-47FF-BA40-76550DAD9638}"/>
                </a:ext>
              </a:extLst>
            </xdr:cNvPr>
            <xdr:cNvSpPr txBox="1"/>
          </xdr:nvSpPr>
          <xdr:spPr>
            <a:xfrm>
              <a:off x="20645583" y="4348788"/>
              <a:ext cx="586893"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1C42309-DD93-49DE-8F18-3C7EF5A188FF}" type="TxLink">
                <a:rPr lang="en-US" sz="1800" b="1" i="0" u="none" strike="noStrike">
                  <a:solidFill>
                    <a:srgbClr val="002060"/>
                  </a:solidFill>
                  <a:latin typeface="Lato" panose="020F0502020204030203" pitchFamily="34" charset="0"/>
                  <a:ea typeface="Lato" panose="020F0502020204030203" pitchFamily="34" charset="0"/>
                  <a:cs typeface="Lato" panose="020F0502020204030203" pitchFamily="34" charset="0"/>
                </a:rPr>
                <a:pPr marL="0" indent="0"/>
                <a:t>882</a:t>
              </a:fld>
              <a:endParaRPr lang="en-IN" sz="1800" b="1" i="0" u="none" strike="noStrike">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grpSp>
      <xdr:sp macro="" textlink="">
        <xdr:nvSpPr>
          <xdr:cNvPr id="108" name="TextBox 107">
            <a:extLst>
              <a:ext uri="{FF2B5EF4-FFF2-40B4-BE49-F238E27FC236}">
                <a16:creationId xmlns:a16="http://schemas.microsoft.com/office/drawing/2014/main" id="{917595F6-07AC-4899-B85F-96CB9C96376A}"/>
              </a:ext>
            </a:extLst>
          </xdr:cNvPr>
          <xdr:cNvSpPr txBox="1"/>
        </xdr:nvSpPr>
        <xdr:spPr>
          <a:xfrm>
            <a:off x="1937272" y="2220439"/>
            <a:ext cx="3800654" cy="306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602928"/>
                </a:solidFill>
                <a:latin typeface="Lato" panose="020F0502020204030203" pitchFamily="34" charset="0"/>
                <a:ea typeface="Lato" panose="020F0502020204030203" pitchFamily="34" charset="0"/>
                <a:cs typeface="Lato" panose="020F0502020204030203" pitchFamily="34" charset="0"/>
              </a:rPr>
              <a:t>Total</a:t>
            </a:r>
            <a:r>
              <a:rPr lang="en-IN" sz="1400" b="1" baseline="0">
                <a:solidFill>
                  <a:srgbClr val="602928"/>
                </a:solidFill>
                <a:latin typeface="Lato" panose="020F0502020204030203" pitchFamily="34" charset="0"/>
                <a:ea typeface="Lato" panose="020F0502020204030203" pitchFamily="34" charset="0"/>
                <a:cs typeface="Lato" panose="020F0502020204030203" pitchFamily="34" charset="0"/>
              </a:rPr>
              <a:t> Employees by Gender</a:t>
            </a:r>
            <a:endParaRPr lang="en-IN" sz="1400" b="1">
              <a:solidFill>
                <a:srgbClr val="602928"/>
              </a:solidFill>
              <a:latin typeface="Lato" panose="020F0502020204030203" pitchFamily="34" charset="0"/>
              <a:ea typeface="Lato" panose="020F0502020204030203" pitchFamily="34" charset="0"/>
              <a:cs typeface="Lato" panose="020F0502020204030203" pitchFamily="34" charset="0"/>
            </a:endParaRPr>
          </a:p>
        </xdr:txBody>
      </xdr:sp>
      <mc:AlternateContent xmlns:mc="http://schemas.openxmlformats.org/markup-compatibility/2006" xmlns:a14="http://schemas.microsoft.com/office/drawing/2010/main">
        <mc:Choice Requires="a14">
          <xdr:graphicFrame macro="">
            <xdr:nvGraphicFramePr>
              <xdr:cNvPr id="109" name="Gender 3">
                <a:extLst>
                  <a:ext uri="{FF2B5EF4-FFF2-40B4-BE49-F238E27FC236}">
                    <a16:creationId xmlns:a16="http://schemas.microsoft.com/office/drawing/2014/main" id="{1D7DAD09-BEDF-4C12-BC5C-E99B0BBC8FD3}"/>
                  </a:ext>
                </a:extLst>
              </xdr:cNvPr>
              <xdr:cNvGraphicFramePr/>
            </xdr:nvGraphicFramePr>
            <xdr:xfrm>
              <a:off x="3164004" y="2931721"/>
              <a:ext cx="1833748" cy="640497"/>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164004" y="2931721"/>
                <a:ext cx="1833748" cy="640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10" name="Chart 109">
            <a:extLst>
              <a:ext uri="{FF2B5EF4-FFF2-40B4-BE49-F238E27FC236}">
                <a16:creationId xmlns:a16="http://schemas.microsoft.com/office/drawing/2014/main" id="{B130A9CF-A1F2-420A-BA0B-4FB97594D9F7}"/>
              </a:ext>
            </a:extLst>
          </xdr:cNvPr>
          <xdr:cNvGraphicFramePr>
            <a:graphicFrameLocks/>
          </xdr:cNvGraphicFramePr>
        </xdr:nvGraphicFramePr>
        <xdr:xfrm>
          <a:off x="6520433" y="2607349"/>
          <a:ext cx="4350712" cy="2167521"/>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111" name="TextBox 110">
            <a:extLst>
              <a:ext uri="{FF2B5EF4-FFF2-40B4-BE49-F238E27FC236}">
                <a16:creationId xmlns:a16="http://schemas.microsoft.com/office/drawing/2014/main" id="{3457FEAF-FD8D-4A3B-A649-FF1CBB0BCBD6}"/>
              </a:ext>
            </a:extLst>
          </xdr:cNvPr>
          <xdr:cNvSpPr txBox="1"/>
        </xdr:nvSpPr>
        <xdr:spPr>
          <a:xfrm>
            <a:off x="6404978" y="2220439"/>
            <a:ext cx="3800654" cy="306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602928"/>
                </a:solidFill>
                <a:latin typeface="Lato" panose="020F0502020204030203" pitchFamily="34" charset="0"/>
                <a:ea typeface="Lato" panose="020F0502020204030203" pitchFamily="34" charset="0"/>
                <a:cs typeface="Lato" panose="020F0502020204030203" pitchFamily="34" charset="0"/>
              </a:rPr>
              <a:t>Education wise</a:t>
            </a:r>
            <a:r>
              <a:rPr lang="en-IN" sz="1400" b="1" baseline="0">
                <a:solidFill>
                  <a:srgbClr val="602928"/>
                </a:solidFill>
                <a:latin typeface="Lato" panose="020F0502020204030203" pitchFamily="34" charset="0"/>
                <a:ea typeface="Lato" panose="020F0502020204030203" pitchFamily="34" charset="0"/>
                <a:cs typeface="Lato" panose="020F0502020204030203" pitchFamily="34" charset="0"/>
              </a:rPr>
              <a:t> Attrition</a:t>
            </a:r>
            <a:endParaRPr lang="en-IN" sz="1400" b="1">
              <a:solidFill>
                <a:srgbClr val="602928"/>
              </a:solidFill>
              <a:latin typeface="Lato" panose="020F0502020204030203" pitchFamily="34" charset="0"/>
              <a:ea typeface="Lato" panose="020F0502020204030203" pitchFamily="34" charset="0"/>
              <a:cs typeface="Lato" panose="020F0502020204030203" pitchFamily="34" charset="0"/>
            </a:endParaRPr>
          </a:p>
        </xdr:txBody>
      </xdr:sp>
      <mc:AlternateContent xmlns:mc="http://schemas.openxmlformats.org/markup-compatibility/2006">
        <mc:Choice xmlns:cx1="http://schemas.microsoft.com/office/drawing/2015/9/8/chartex" Requires="cx1">
          <xdr:graphicFrame macro="">
            <xdr:nvGraphicFramePr>
              <xdr:cNvPr id="112" name="Chart 111">
                <a:extLst>
                  <a:ext uri="{FF2B5EF4-FFF2-40B4-BE49-F238E27FC236}">
                    <a16:creationId xmlns:a16="http://schemas.microsoft.com/office/drawing/2014/main" id="{14C6423E-E529-4AA2-B4A0-1942AF98FEC1}"/>
                  </a:ext>
                </a:extLst>
              </xdr:cNvPr>
              <xdr:cNvGraphicFramePr/>
            </xdr:nvGraphicFramePr>
            <xdr:xfrm>
              <a:off x="11721110" y="2597727"/>
              <a:ext cx="4766073" cy="2196385"/>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721110" y="2597727"/>
                <a:ext cx="4766073" cy="21963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14" name="TextBox 113">
            <a:extLst>
              <a:ext uri="{FF2B5EF4-FFF2-40B4-BE49-F238E27FC236}">
                <a16:creationId xmlns:a16="http://schemas.microsoft.com/office/drawing/2014/main" id="{73DC7441-D50A-4C30-A3F7-4002035E79E6}"/>
              </a:ext>
            </a:extLst>
          </xdr:cNvPr>
          <xdr:cNvSpPr txBox="1"/>
        </xdr:nvSpPr>
        <xdr:spPr>
          <a:xfrm>
            <a:off x="11807702" y="2220439"/>
            <a:ext cx="3800654" cy="306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602928"/>
                </a:solidFill>
                <a:latin typeface="Lato" panose="020F0502020204030203" pitchFamily="34" charset="0"/>
                <a:ea typeface="Lato" panose="020F0502020204030203" pitchFamily="34" charset="0"/>
                <a:cs typeface="Lato" panose="020F0502020204030203" pitchFamily="34" charset="0"/>
              </a:rPr>
              <a:t>Attrition by Job Role</a:t>
            </a:r>
          </a:p>
        </xdr:txBody>
      </xdr:sp>
      <xdr:graphicFrame macro="">
        <xdr:nvGraphicFramePr>
          <xdr:cNvPr id="115" name="Chart 114">
            <a:extLst>
              <a:ext uri="{FF2B5EF4-FFF2-40B4-BE49-F238E27FC236}">
                <a16:creationId xmlns:a16="http://schemas.microsoft.com/office/drawing/2014/main" id="{FC6CAB75-E81E-449A-B42D-20110C3066A4}"/>
              </a:ext>
            </a:extLst>
          </xdr:cNvPr>
          <xdr:cNvGraphicFramePr>
            <a:graphicFrameLocks/>
          </xdr:cNvGraphicFramePr>
        </xdr:nvGraphicFramePr>
        <xdr:xfrm>
          <a:off x="2054266" y="5338399"/>
          <a:ext cx="3964214" cy="2034199"/>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16" name="TextBox 115">
            <a:extLst>
              <a:ext uri="{FF2B5EF4-FFF2-40B4-BE49-F238E27FC236}">
                <a16:creationId xmlns:a16="http://schemas.microsoft.com/office/drawing/2014/main" id="{63B495E1-1373-440A-8D27-2F89D193B5ED}"/>
              </a:ext>
            </a:extLst>
          </xdr:cNvPr>
          <xdr:cNvSpPr txBox="1"/>
        </xdr:nvSpPr>
        <xdr:spPr>
          <a:xfrm>
            <a:off x="1937272" y="4938691"/>
            <a:ext cx="3800654" cy="306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602928"/>
                </a:solidFill>
                <a:latin typeface="Lato" panose="020F0502020204030203" pitchFamily="34" charset="0"/>
                <a:ea typeface="Lato" panose="020F0502020204030203" pitchFamily="34" charset="0"/>
                <a:cs typeface="Lato" panose="020F0502020204030203" pitchFamily="34" charset="0"/>
              </a:rPr>
              <a:t>Department wise Attrition</a:t>
            </a:r>
          </a:p>
        </xdr:txBody>
      </xdr:sp>
      <xdr:graphicFrame macro="">
        <xdr:nvGraphicFramePr>
          <xdr:cNvPr id="117" name="Chart 116">
            <a:extLst>
              <a:ext uri="{FF2B5EF4-FFF2-40B4-BE49-F238E27FC236}">
                <a16:creationId xmlns:a16="http://schemas.microsoft.com/office/drawing/2014/main" id="{FCE6AA43-EDF4-43A7-9229-DF37A8A1BAB1}"/>
              </a:ext>
            </a:extLst>
          </xdr:cNvPr>
          <xdr:cNvGraphicFramePr>
            <a:graphicFrameLocks/>
          </xdr:cNvGraphicFramePr>
        </xdr:nvGraphicFramePr>
        <xdr:xfrm>
          <a:off x="6347251" y="5290292"/>
          <a:ext cx="3781411" cy="2130412"/>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118" name="TextBox 117">
            <a:extLst>
              <a:ext uri="{FF2B5EF4-FFF2-40B4-BE49-F238E27FC236}">
                <a16:creationId xmlns:a16="http://schemas.microsoft.com/office/drawing/2014/main" id="{6D709784-5EE5-4A8C-82D2-B97129B6A574}"/>
              </a:ext>
            </a:extLst>
          </xdr:cNvPr>
          <xdr:cNvSpPr txBox="1"/>
        </xdr:nvSpPr>
        <xdr:spPr>
          <a:xfrm>
            <a:off x="6404978" y="4938691"/>
            <a:ext cx="3800654" cy="306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602928"/>
                </a:solidFill>
                <a:latin typeface="Lato" panose="020F0502020204030203" pitchFamily="34" charset="0"/>
                <a:ea typeface="Lato" panose="020F0502020204030203" pitchFamily="34" charset="0"/>
                <a:cs typeface="Lato" panose="020F0502020204030203" pitchFamily="34" charset="0"/>
              </a:rPr>
              <a:t>Age wise Attrition</a:t>
            </a:r>
          </a:p>
        </xdr:txBody>
      </xdr:sp>
      <mc:AlternateContent xmlns:mc="http://schemas.openxmlformats.org/markup-compatibility/2006">
        <mc:Choice xmlns:cx2="http://schemas.microsoft.com/office/drawing/2015/10/21/chartex" Requires="cx2">
          <xdr:graphicFrame macro="">
            <xdr:nvGraphicFramePr>
              <xdr:cNvPr id="120" name="Chart 119">
                <a:extLst>
                  <a:ext uri="{FF2B5EF4-FFF2-40B4-BE49-F238E27FC236}">
                    <a16:creationId xmlns:a16="http://schemas.microsoft.com/office/drawing/2014/main" id="{E3830134-1EDE-4F3C-B673-7C5697898F82}"/>
                  </a:ext>
                </a:extLst>
              </xdr:cNvPr>
              <xdr:cNvGraphicFramePr/>
            </xdr:nvGraphicFramePr>
            <xdr:xfrm>
              <a:off x="10370843" y="5309534"/>
              <a:ext cx="2979551" cy="2091927"/>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370843" y="5309534"/>
                <a:ext cx="2979551" cy="20919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21" name="TextBox 120">
            <a:extLst>
              <a:ext uri="{FF2B5EF4-FFF2-40B4-BE49-F238E27FC236}">
                <a16:creationId xmlns:a16="http://schemas.microsoft.com/office/drawing/2014/main" id="{60048332-31E8-4B99-B583-C6C7F609F037}"/>
              </a:ext>
            </a:extLst>
          </xdr:cNvPr>
          <xdr:cNvSpPr txBox="1"/>
        </xdr:nvSpPr>
        <xdr:spPr>
          <a:xfrm>
            <a:off x="10361221" y="4938691"/>
            <a:ext cx="3800654" cy="306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602928"/>
                </a:solidFill>
                <a:latin typeface="Lato" panose="020F0502020204030203" pitchFamily="34" charset="0"/>
                <a:ea typeface="Lato" panose="020F0502020204030203" pitchFamily="34" charset="0"/>
                <a:cs typeface="Lato" panose="020F0502020204030203" pitchFamily="34" charset="0"/>
              </a:rPr>
              <a:t>Attrition by Marital Status</a:t>
            </a:r>
          </a:p>
        </xdr:txBody>
      </xdr:sp>
      <mc:AlternateContent xmlns:mc="http://schemas.openxmlformats.org/markup-compatibility/2006" xmlns:a14="http://schemas.microsoft.com/office/drawing/2010/main">
        <mc:Choice Requires="a14">
          <xdr:graphicFrame macro="">
            <xdr:nvGraphicFramePr>
              <xdr:cNvPr id="122" name="Department 1">
                <a:extLst>
                  <a:ext uri="{FF2B5EF4-FFF2-40B4-BE49-F238E27FC236}">
                    <a16:creationId xmlns:a16="http://schemas.microsoft.com/office/drawing/2014/main" id="{FF351EE0-D6F7-4030-9F0D-9031B5674EB8}"/>
                  </a:ext>
                </a:extLst>
              </xdr:cNvPr>
              <xdr:cNvGraphicFramePr/>
            </xdr:nvGraphicFramePr>
            <xdr:xfrm>
              <a:off x="15190876" y="5434609"/>
              <a:ext cx="1267443" cy="1184179"/>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190876" y="5434609"/>
                <a:ext cx="1267443" cy="1184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3" name="Education Field 3">
                <a:extLst>
                  <a:ext uri="{FF2B5EF4-FFF2-40B4-BE49-F238E27FC236}">
                    <a16:creationId xmlns:a16="http://schemas.microsoft.com/office/drawing/2014/main" id="{7E76554C-E7D7-4BCC-A813-A23D25FBA5D0}"/>
                  </a:ext>
                </a:extLst>
              </xdr:cNvPr>
              <xdr:cNvGraphicFramePr/>
            </xdr:nvGraphicFramePr>
            <xdr:xfrm>
              <a:off x="13592574" y="5434609"/>
              <a:ext cx="1534803" cy="2040248"/>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592574" y="5434609"/>
                <a:ext cx="1534803" cy="1966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24" name="TextBox 123">
            <a:extLst>
              <a:ext uri="{FF2B5EF4-FFF2-40B4-BE49-F238E27FC236}">
                <a16:creationId xmlns:a16="http://schemas.microsoft.com/office/drawing/2014/main" id="{FD274B19-E63F-4904-8633-F15A7611E2C5}"/>
              </a:ext>
            </a:extLst>
          </xdr:cNvPr>
          <xdr:cNvSpPr txBox="1"/>
        </xdr:nvSpPr>
        <xdr:spPr>
          <a:xfrm>
            <a:off x="13591035" y="5228455"/>
            <a:ext cx="1853760" cy="28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602928"/>
                </a:solidFill>
                <a:latin typeface="Lato" panose="020F0502020204030203" pitchFamily="34" charset="0"/>
                <a:ea typeface="Lato" panose="020F0502020204030203" pitchFamily="34" charset="0"/>
                <a:cs typeface="Lato" panose="020F0502020204030203" pitchFamily="34" charset="0"/>
              </a:rPr>
              <a:t>Education</a:t>
            </a:r>
            <a:r>
              <a:rPr lang="en-IN" sz="1100" b="1" baseline="0">
                <a:solidFill>
                  <a:srgbClr val="602928"/>
                </a:solidFill>
                <a:latin typeface="Lato" panose="020F0502020204030203" pitchFamily="34" charset="0"/>
                <a:ea typeface="Lato" panose="020F0502020204030203" pitchFamily="34" charset="0"/>
                <a:cs typeface="Lato" panose="020F0502020204030203" pitchFamily="34" charset="0"/>
              </a:rPr>
              <a:t> Field</a:t>
            </a:r>
            <a:endParaRPr lang="en-IN" sz="1100" b="1">
              <a:solidFill>
                <a:srgbClr val="602928"/>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25" name="TextBox 124">
            <a:extLst>
              <a:ext uri="{FF2B5EF4-FFF2-40B4-BE49-F238E27FC236}">
                <a16:creationId xmlns:a16="http://schemas.microsoft.com/office/drawing/2014/main" id="{CF6C0459-DA8B-4FE4-9E88-DA146C7A2E97}"/>
              </a:ext>
            </a:extLst>
          </xdr:cNvPr>
          <xdr:cNvSpPr txBox="1"/>
        </xdr:nvSpPr>
        <xdr:spPr>
          <a:xfrm>
            <a:off x="15141809" y="5228455"/>
            <a:ext cx="1853760" cy="28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602928"/>
                </a:solidFill>
                <a:latin typeface="Lato" panose="020F0502020204030203" pitchFamily="34" charset="0"/>
                <a:ea typeface="Lato" panose="020F0502020204030203" pitchFamily="34" charset="0"/>
                <a:cs typeface="Lato" panose="020F0502020204030203" pitchFamily="34" charset="0"/>
              </a:rPr>
              <a:t>Department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HAVIK KAPOOR" refreshedDate="46014.608063888889" createdVersion="8" refreshedVersion="8" minRefreshableVersion="3" recordCount="1470" xr:uid="{D34ADBE8-B21C-4C89-BC27-216E74F4C18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905110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766AA2-8F9A-4320-9AE2-3C17D3021B49}"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1"/>
    <dataField name="Average of Age" fld="16" subtotal="average" baseField="0" baseItem="1" numFmtId="2"/>
  </dataFields>
  <formats count="1">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8AEF07-EF79-4FE1-A422-CFEDD1CE91B3}"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904F0B-9250-4C15-A62D-95110A4E789E}"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0B20D4-097E-4F40-AAC6-D08ABDEE76B6}"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78B37D-074D-496B-8493-906D15845FB0}"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CBE35F-3B0D-4616-AFE8-9C045ED14AC5}"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7CA144-B8CB-4CB4-844C-BD110F4E55E2}"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CB947-2283-40C6-8CDE-B5019DA09C6E}"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CB64EFF-54E7-4F7E-82BB-8C95F8521E3B}" sourceName="Gender">
  <pivotTables>
    <pivotTable tabId="5" name="Gender"/>
    <pivotTable tabId="9" name="Attrition by Age group"/>
    <pivotTable tabId="7" name="Attrition by Job"/>
    <pivotTable tabId="8" name="Dept wise Attrition"/>
    <pivotTable tabId="6" name="Education by Attrition"/>
    <pivotTable tabId="2" name="KPI"/>
    <pivotTable tabId="10" name="Marital Status"/>
    <pivotTable tabId="4" name="Rating"/>
  </pivotTables>
  <data>
    <tabular pivotCacheId="4905110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045018-0E86-4992-BCF6-F74AF19A8459}" sourceName="Department">
  <pivotTables>
    <pivotTable tabId="8" name="Dept wise Attrition"/>
    <pivotTable tabId="9" name="Attrition by Age group"/>
    <pivotTable tabId="7" name="Attrition by Job"/>
    <pivotTable tabId="6" name="Education by Attrition"/>
    <pivotTable tabId="5" name="Gender"/>
    <pivotTable tabId="2" name="KPI"/>
    <pivotTable tabId="10" name="Marital Status"/>
    <pivotTable tabId="4" name="Rating"/>
  </pivotTables>
  <data>
    <tabular pivotCacheId="4905110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5F40097-0497-45CB-99A3-FE05548DC058}" sourceName="Education Field">
  <pivotTables>
    <pivotTable tabId="8" name="Dept wise Attrition"/>
    <pivotTable tabId="9" name="Attrition by Age group"/>
    <pivotTable tabId="7" name="Attrition by Job"/>
    <pivotTable tabId="6" name="Education by Attrition"/>
    <pivotTable tabId="5" name="Gender"/>
    <pivotTable tabId="2" name="KPI"/>
    <pivotTable tabId="10" name="Marital Status"/>
    <pivotTable tabId="4" name="Rating"/>
  </pivotTables>
  <data>
    <tabular pivotCacheId="49051104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189F66-4EB8-48D0-A3B2-6A3AC7DF7D77}" cache="Slicer_Gender2"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C70DBC6-8D8E-488F-8BF9-595E79213F55}" cache="Slicer_Gender2" caption="Gender" rowHeight="241300"/>
  <slicer name="Education Field" xr10:uid="{A7BA29F3-3404-40FA-AEA1-C07D2C1EF174}" cache="Slicer_Education_Field2" caption="Education Fiel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812F003-0DF5-4BA3-BB8A-0A763F1009D9}" cache="Slicer_Gender2" caption="Gender" rowHeight="241300"/>
  <slicer name="Education Field 2" xr10:uid="{425B000C-8239-4F0F-86D1-FFE8C81F5774}" cache="Slicer_Education_Field2"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E179579-B1E6-4DEC-B20F-DB18779BD552}" cache="Slicer_Department" caption="Department" rowHeight="241300"/>
  <slicer name="Education Field 1" xr10:uid="{8B1CB90F-87D4-4F35-9E1A-9CFFF8000F1C}" cache="Slicer_Education_Field2"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FA1A45DE-14AC-4F85-B4C8-9D1D1C56D551}" cache="Slicer_Gender2" caption="Gender" columnCount="2" style="Slicer" rowHeight="241300"/>
  <slicer name="Department 1" xr10:uid="{34054A83-0922-45C4-9B02-48B43A64A375}" cache="Slicer_Department" style="Slicer" rowHeight="241300"/>
  <slicer name="Education Field 3" xr10:uid="{F68D105C-1950-4A10-872D-24884956D300}" cache="Slicer_Education_Field2"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900846-F978-4CF3-820B-B22CAB757AB1}" name="Table_1" displayName="Table_1" ref="A1:AR1471">
  <autoFilter ref="A1:AR1471" xr:uid="{CD900846-F978-4CF3-820B-B22CAB757AB1}"/>
  <tableColumns count="44">
    <tableColumn id="1" xr3:uid="{89D96A03-65CF-477B-848C-6C9EE20C18CE}" name="Attrition"/>
    <tableColumn id="2" xr3:uid="{142403D3-C900-4EE9-947B-48C1296D4A5F}" name="Business Travel"/>
    <tableColumn id="3" xr3:uid="{B8807058-700F-4DFB-B597-A7404B744490}" name="CF_age band"/>
    <tableColumn id="4" xr3:uid="{21B57C37-D29B-4BAF-A47A-6681ED5F095D}" name="CF_attrition label"/>
    <tableColumn id="5" xr3:uid="{D59A7831-2743-45E7-95E0-B66145609289}" name="Department"/>
    <tableColumn id="6" xr3:uid="{BD811831-655E-4A8F-8783-B81E9560C5A7}" name="Education Field"/>
    <tableColumn id="7" xr3:uid="{85F8A42E-29AF-4C1A-B49A-B40B2BC4ED7D}" name="emp no"/>
    <tableColumn id="8" xr3:uid="{D750746A-DAA7-4C9A-AE6C-7E56BFB8886C}" name="Employee Number"/>
    <tableColumn id="9" xr3:uid="{8AA2F941-6172-4AD6-813E-B60540D883FE}" name="Gender"/>
    <tableColumn id="10" xr3:uid="{1C2CC8D0-9CDD-4D19-A6CC-5AFC0BA64300}" name="Job Role"/>
    <tableColumn id="11" xr3:uid="{74C842F7-388A-4CE4-B773-22772EC1F04B}" name="Marital Status"/>
    <tableColumn id="12" xr3:uid="{09F3D070-0805-4A1A-9062-F0610ADB1A3D}" name="Over Time"/>
    <tableColumn id="13" xr3:uid="{49C65F13-259D-486E-8F5D-C58ECA1F89AC}" name="Over18"/>
    <tableColumn id="14" xr3:uid="{A6C853AE-FE3D-4607-9B5F-D34C659B3A53}" name="Training Times Last Year"/>
    <tableColumn id="15" xr3:uid="{CD996F83-004D-4C9B-8232-A9EE098B2ACB}" name="-2"/>
    <tableColumn id="16" xr3:uid="{F2E8D077-A8B1-4B9D-AB0A-F9E16DDC499A}" name="0"/>
    <tableColumn id="17" xr3:uid="{2800CC45-B74F-4747-8E54-83CB1D4D9134}" name="Age"/>
    <tableColumn id="18" xr3:uid="{67916B5C-2997-47E1-8126-9C897F1F5913}" name="CF_attrition count"/>
    <tableColumn id="19" xr3:uid="{0D870539-FC70-49D4-9A03-0ED006BF0CCF}" name="CF_attrition counts"/>
    <tableColumn id="20" xr3:uid="{0506260B-8F8E-476C-8E6E-BFB056F1E187}" name="CF_attrition rate"/>
    <tableColumn id="21" xr3:uid="{BCF5C66E-AB53-46DE-8170-4BCABFB25D84}" name="CF_current Employee"/>
    <tableColumn id="22" xr3:uid="{42FE7055-FA08-4E4C-A497-B0370F3CA8FF}" name="Daily Rate"/>
    <tableColumn id="23" xr3:uid="{4D910EC4-97B9-4F94-B27F-6138706D91A8}" name="Distance From Home"/>
    <tableColumn id="24" xr3:uid="{936E69BE-DE45-481D-B236-1599BF42827F}" name="Education"/>
    <tableColumn id="25" xr3:uid="{A7C373AB-0A4C-44C4-B5DD-A41DDBF317FB}" name="Employee Count"/>
    <tableColumn id="26" xr3:uid="{668232B2-2710-4F00-8B6E-80EF0C1B2F35}" name="Environment Satisfaction"/>
    <tableColumn id="27" xr3:uid="{4FB1AA13-F3E0-43BD-BCEE-00A2F2E38196}" name="Hourly Rate"/>
    <tableColumn id="28" xr3:uid="{90AF4698-7A24-4EEC-9A27-BE0E665ECC7A}" name="Job Involvement"/>
    <tableColumn id="29" xr3:uid="{7A309A5E-1D82-4264-993D-4E0DBCE49A50}" name="Job Level"/>
    <tableColumn id="30" xr3:uid="{258C5E77-5854-4894-8FA4-39619C5389F7}" name="Job Satisfaction"/>
    <tableColumn id="31" xr3:uid="{9233175C-F286-4D97-B060-CB739A3426EF}" name="Monthly Income"/>
    <tableColumn id="32" xr3:uid="{49C4B1EF-0807-4836-AFE7-BF4670913DB7}" name="Monthly Rate"/>
    <tableColumn id="33" xr3:uid="{706EE63D-9A64-4B0B-AC23-26C19E1BBEE8}" name="Num Companies Worked"/>
    <tableColumn id="34" xr3:uid="{D856030B-9706-4BEF-B609-A47C0A6081C6}" name="Percent Salary Hike"/>
    <tableColumn id="35" xr3:uid="{BB90F941-0EC7-4FB0-A16C-18B5109988E7}" name="Performance Rating"/>
    <tableColumn id="36" xr3:uid="{A7C0F336-C6FE-40B2-9CF6-950C741F6894}" name="Relationship Satisfaction"/>
    <tableColumn id="37" xr3:uid="{7B666FC7-7D15-4351-985E-831780F4A47E}" name="Standard Hours"/>
    <tableColumn id="38" xr3:uid="{DB1AF070-CAF5-4000-8D63-AF6BDB30C8A8}" name="Stock Option Level"/>
    <tableColumn id="39" xr3:uid="{5AA7B887-87DF-44B4-B2A7-9B91F37C9D15}" name="Total Working Years"/>
    <tableColumn id="40" xr3:uid="{93D22B9C-921A-4F37-A47E-29C6DE6084B2}" name="Work Life Balance"/>
    <tableColumn id="41" xr3:uid="{CAC5099B-0272-4A41-AB36-BFF8EDA71ACC}" name="Years At Company"/>
    <tableColumn id="42" xr3:uid="{E02F0DFC-D546-40C1-8287-9CD6C57A4884}" name="Years In Current Role"/>
    <tableColumn id="43" xr3:uid="{C91E2FB0-3DE1-479C-B063-A86CC325EAC4}" name="Years Since Last Promotion"/>
    <tableColumn id="44" xr3:uid="{1FAF29CA-A01D-43A1-A0A2-F7C42A4B70BB}" name="Years With Curr Manager"/>
  </tableColumns>
  <tableStyleInfo name="TableStyleMedium6"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9CD7-DDDE-4528-A2EF-11F6AA4FBF90}">
  <dimension ref="A3:E8"/>
  <sheetViews>
    <sheetView workbookViewId="0">
      <selection activeCell="C11" sqref="C11"/>
    </sheetView>
  </sheetViews>
  <sheetFormatPr defaultRowHeight="14.5" x14ac:dyDescent="0.35"/>
  <cols>
    <col min="1" max="1" width="24.26953125" bestFit="1" customWidth="1"/>
    <col min="2" max="2" width="22.6328125" bestFit="1" customWidth="1"/>
    <col min="3" max="3" width="13.36328125" bestFit="1" customWidth="1"/>
    <col min="4" max="4" width="15.36328125" bestFit="1" customWidth="1"/>
    <col min="5" max="5" width="11.90625" bestFit="1" customWidth="1"/>
  </cols>
  <sheetData>
    <row r="3" spans="1:5" x14ac:dyDescent="0.35">
      <c r="A3" t="s">
        <v>1554</v>
      </c>
      <c r="B3" t="s">
        <v>1555</v>
      </c>
      <c r="C3" t="s">
        <v>1556</v>
      </c>
    </row>
    <row r="4" spans="1:5" x14ac:dyDescent="0.35">
      <c r="A4">
        <v>1470</v>
      </c>
      <c r="B4">
        <v>237</v>
      </c>
      <c r="C4" s="2">
        <v>36.923809523809524</v>
      </c>
    </row>
    <row r="7" spans="1:5" x14ac:dyDescent="0.35">
      <c r="A7" t="s">
        <v>1557</v>
      </c>
      <c r="B7" t="s">
        <v>1558</v>
      </c>
      <c r="C7" t="s">
        <v>1559</v>
      </c>
      <c r="D7" t="s">
        <v>1560</v>
      </c>
      <c r="E7" t="s">
        <v>1561</v>
      </c>
    </row>
    <row r="8" spans="1:5" x14ac:dyDescent="0.35">
      <c r="A8">
        <f>GETPIVOTDATA("Count of Employee Number",$A$3)</f>
        <v>1470</v>
      </c>
      <c r="B8">
        <f>GETPIVOTDATA("Sum of CF_attrition count",$A$3)</f>
        <v>237</v>
      </c>
      <c r="C8" s="6">
        <f>GETPIVOTDATA("Average of Age",$A$3)</f>
        <v>36.923809523809524</v>
      </c>
      <c r="D8">
        <f>A8-B8</f>
        <v>1233</v>
      </c>
      <c r="E8" s="4">
        <f>B8/A8</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BEFD-4914-43AE-8A61-F4CD9DE15E24}">
  <dimension ref="A3:C7"/>
  <sheetViews>
    <sheetView workbookViewId="0">
      <selection activeCell="I20" sqref="I20"/>
    </sheetView>
  </sheetViews>
  <sheetFormatPr defaultRowHeight="14.5" x14ac:dyDescent="0.35"/>
  <cols>
    <col min="1" max="1" width="23.453125" bestFit="1" customWidth="1"/>
  </cols>
  <sheetData>
    <row r="3" spans="1:3" x14ac:dyDescent="0.35">
      <c r="A3" t="s">
        <v>1562</v>
      </c>
    </row>
    <row r="4" spans="1:3" x14ac:dyDescent="0.35">
      <c r="A4" s="5">
        <v>2.6265306122448981</v>
      </c>
    </row>
    <row r="6" spans="1:3" x14ac:dyDescent="0.35">
      <c r="A6" t="s">
        <v>1563</v>
      </c>
      <c r="B6" s="5">
        <f>GETPIVOTDATA("Job Satisfaction",$A$3)</f>
        <v>2.6265306122448981</v>
      </c>
      <c r="C6">
        <f>B6/4</f>
        <v>0.65663265306122454</v>
      </c>
    </row>
    <row r="7" spans="1:3" x14ac:dyDescent="0.35">
      <c r="A7" t="s">
        <v>1564</v>
      </c>
      <c r="B7" s="5">
        <f>4-B6</f>
        <v>1.3734693877551019</v>
      </c>
      <c r="C7">
        <f>B7/4</f>
        <v>0.34336734693877546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763A3-F20D-4DE4-8ABA-AFFB2587D0CF}">
  <dimension ref="A3:C10"/>
  <sheetViews>
    <sheetView workbookViewId="0">
      <selection activeCell="F17" sqref="F17"/>
    </sheetView>
  </sheetViews>
  <sheetFormatPr defaultRowHeight="14.5" x14ac:dyDescent="0.35"/>
  <cols>
    <col min="1" max="1" width="12.36328125" bestFit="1" customWidth="1"/>
    <col min="2" max="2" width="22.54296875" bestFit="1" customWidth="1"/>
  </cols>
  <sheetData>
    <row r="3" spans="1:3" x14ac:dyDescent="0.35">
      <c r="A3" s="8" t="s">
        <v>1565</v>
      </c>
      <c r="B3" t="s">
        <v>1567</v>
      </c>
    </row>
    <row r="4" spans="1:3" x14ac:dyDescent="0.35">
      <c r="A4" s="9" t="s">
        <v>51</v>
      </c>
      <c r="B4">
        <v>588</v>
      </c>
    </row>
    <row r="5" spans="1:3" x14ac:dyDescent="0.35">
      <c r="A5" s="9" t="s">
        <v>62</v>
      </c>
      <c r="B5">
        <v>882</v>
      </c>
    </row>
    <row r="6" spans="1:3" x14ac:dyDescent="0.35">
      <c r="A6" s="9" t="s">
        <v>1566</v>
      </c>
      <c r="B6">
        <v>1470</v>
      </c>
    </row>
    <row r="9" spans="1:3" x14ac:dyDescent="0.35">
      <c r="A9" s="9" t="s">
        <v>51</v>
      </c>
      <c r="B9">
        <f>IFERROR(GETPIVOTDATA("Employee Count",$A$3,"Gender","Female"),0)</f>
        <v>588</v>
      </c>
      <c r="C9" s="3">
        <f>IFERROR(B9/($B$9+$B$10),0)</f>
        <v>0.4</v>
      </c>
    </row>
    <row r="10" spans="1:3" x14ac:dyDescent="0.35">
      <c r="A10" s="9" t="s">
        <v>62</v>
      </c>
      <c r="B10">
        <f>IFERROR(GETPIVOTDATA("Employee Count",$A$3,"Gender","Male"),0)</f>
        <v>882</v>
      </c>
      <c r="C10" s="3">
        <f>IFERROR(B10/($B$9+$B$10),0)</f>
        <v>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AD6E-432D-429E-B75D-3691382A81DB}">
  <dimension ref="A3:B9"/>
  <sheetViews>
    <sheetView workbookViewId="0">
      <selection activeCell="M14" sqref="M14"/>
    </sheetView>
  </sheetViews>
  <sheetFormatPr defaultRowHeight="14.5" x14ac:dyDescent="0.35"/>
  <cols>
    <col min="1" max="1" width="15.90625" bestFit="1" customWidth="1"/>
    <col min="2" max="2" width="22.6328125" bestFit="1" customWidth="1"/>
  </cols>
  <sheetData>
    <row r="3" spans="1:2" x14ac:dyDescent="0.35">
      <c r="A3" s="8" t="s">
        <v>1565</v>
      </c>
      <c r="B3" t="s">
        <v>1555</v>
      </c>
    </row>
    <row r="4" spans="1:2" x14ac:dyDescent="0.35">
      <c r="A4" s="9" t="s">
        <v>134</v>
      </c>
      <c r="B4">
        <v>5</v>
      </c>
    </row>
    <row r="5" spans="1:2" x14ac:dyDescent="0.35">
      <c r="A5" s="9" t="s">
        <v>65</v>
      </c>
      <c r="B5">
        <v>31</v>
      </c>
    </row>
    <row r="6" spans="1:2" x14ac:dyDescent="0.35">
      <c r="A6" s="9" t="s">
        <v>55</v>
      </c>
      <c r="B6">
        <v>44</v>
      </c>
    </row>
    <row r="7" spans="1:2" x14ac:dyDescent="0.35">
      <c r="A7" s="9" t="s">
        <v>71</v>
      </c>
      <c r="B7">
        <v>58</v>
      </c>
    </row>
    <row r="8" spans="1:2" x14ac:dyDescent="0.35">
      <c r="A8" s="9" t="s">
        <v>77</v>
      </c>
      <c r="B8">
        <v>99</v>
      </c>
    </row>
    <row r="9" spans="1:2" x14ac:dyDescent="0.35">
      <c r="A9" s="9" t="s">
        <v>1566</v>
      </c>
      <c r="B9">
        <v>237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C1B7-CEBB-4FC4-B6A3-5812820685BF}">
  <dimension ref="A3:E13"/>
  <sheetViews>
    <sheetView workbookViewId="0">
      <selection activeCell="D4" sqref="D4:E12"/>
    </sheetView>
  </sheetViews>
  <sheetFormatPr defaultRowHeight="14.5" x14ac:dyDescent="0.35"/>
  <cols>
    <col min="1" max="1" width="23" bestFit="1" customWidth="1"/>
    <col min="2" max="2" width="22.6328125" bestFit="1" customWidth="1"/>
    <col min="4" max="4" width="23" bestFit="1" customWidth="1"/>
  </cols>
  <sheetData>
    <row r="3" spans="1:5" x14ac:dyDescent="0.35">
      <c r="A3" s="8" t="s">
        <v>1565</v>
      </c>
      <c r="B3" t="s">
        <v>1555</v>
      </c>
      <c r="D3" t="s">
        <v>9</v>
      </c>
      <c r="E3" t="s">
        <v>0</v>
      </c>
    </row>
    <row r="4" spans="1:5" x14ac:dyDescent="0.35">
      <c r="A4" s="9" t="s">
        <v>83</v>
      </c>
      <c r="B4">
        <v>9</v>
      </c>
      <c r="D4" t="str">
        <f>A4</f>
        <v>Healthcare Representative</v>
      </c>
      <c r="E4">
        <f>GETPIVOTDATA("CF_attrition count",$A$3,"Job Role",A4)</f>
        <v>9</v>
      </c>
    </row>
    <row r="5" spans="1:5" x14ac:dyDescent="0.35">
      <c r="A5" s="9" t="s">
        <v>163</v>
      </c>
      <c r="B5">
        <v>12</v>
      </c>
      <c r="D5" t="str">
        <f t="shared" ref="D5:D12" si="0">A5</f>
        <v>Human Resources</v>
      </c>
      <c r="E5">
        <f t="shared" ref="E5:E12" si="1">GETPIVOTDATA("CF_attrition count",$A$3,"Job Role",A5)</f>
        <v>12</v>
      </c>
    </row>
    <row r="6" spans="1:5" x14ac:dyDescent="0.35">
      <c r="A6" s="9" t="s">
        <v>68</v>
      </c>
      <c r="B6">
        <v>62</v>
      </c>
      <c r="D6" t="str">
        <f t="shared" si="0"/>
        <v>Laboratory Technician</v>
      </c>
      <c r="E6">
        <f t="shared" si="1"/>
        <v>62</v>
      </c>
    </row>
    <row r="7" spans="1:5" x14ac:dyDescent="0.35">
      <c r="A7" s="9" t="s">
        <v>95</v>
      </c>
      <c r="B7">
        <v>5</v>
      </c>
      <c r="D7" t="str">
        <f t="shared" si="0"/>
        <v>Manager</v>
      </c>
      <c r="E7">
        <f t="shared" si="1"/>
        <v>5</v>
      </c>
    </row>
    <row r="8" spans="1:5" x14ac:dyDescent="0.35">
      <c r="A8" s="9" t="s">
        <v>81</v>
      </c>
      <c r="B8">
        <v>10</v>
      </c>
      <c r="D8" t="str">
        <f t="shared" si="0"/>
        <v>Manufacturing Director</v>
      </c>
      <c r="E8">
        <f t="shared" si="1"/>
        <v>10</v>
      </c>
    </row>
    <row r="9" spans="1:5" x14ac:dyDescent="0.35">
      <c r="A9" s="9" t="s">
        <v>101</v>
      </c>
      <c r="B9">
        <v>2</v>
      </c>
      <c r="D9" t="str">
        <f t="shared" si="0"/>
        <v>Research Director</v>
      </c>
      <c r="E9">
        <f t="shared" si="1"/>
        <v>2</v>
      </c>
    </row>
    <row r="10" spans="1:5" x14ac:dyDescent="0.35">
      <c r="A10" s="9" t="s">
        <v>63</v>
      </c>
      <c r="B10">
        <v>47</v>
      </c>
      <c r="D10" t="str">
        <f t="shared" si="0"/>
        <v>Research Scientist</v>
      </c>
      <c r="E10">
        <f t="shared" si="1"/>
        <v>47</v>
      </c>
    </row>
    <row r="11" spans="1:5" x14ac:dyDescent="0.35">
      <c r="A11" s="9" t="s">
        <v>52</v>
      </c>
      <c r="B11">
        <v>57</v>
      </c>
      <c r="D11" t="str">
        <f t="shared" si="0"/>
        <v>Sales Executive</v>
      </c>
      <c r="E11">
        <f t="shared" si="1"/>
        <v>57</v>
      </c>
    </row>
    <row r="12" spans="1:5" x14ac:dyDescent="0.35">
      <c r="A12" s="9" t="s">
        <v>99</v>
      </c>
      <c r="B12">
        <v>33</v>
      </c>
      <c r="D12" t="str">
        <f t="shared" si="0"/>
        <v>Sales Representative</v>
      </c>
      <c r="E12">
        <f t="shared" si="1"/>
        <v>33</v>
      </c>
    </row>
    <row r="13" spans="1:5" x14ac:dyDescent="0.35">
      <c r="A13" s="9" t="s">
        <v>1566</v>
      </c>
      <c r="B13">
        <v>237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B63E-58F4-4FFD-94D4-97905AAA48EE}">
  <dimension ref="A3:B7"/>
  <sheetViews>
    <sheetView workbookViewId="0">
      <selection activeCell="M7" sqref="M7"/>
    </sheetView>
  </sheetViews>
  <sheetFormatPr defaultRowHeight="14.5" x14ac:dyDescent="0.35"/>
  <cols>
    <col min="1" max="1" width="12.36328125" bestFit="1" customWidth="1"/>
    <col min="2" max="2" width="22.6328125" bestFit="1" customWidth="1"/>
  </cols>
  <sheetData>
    <row r="3" spans="1:2" x14ac:dyDescent="0.35">
      <c r="A3" s="8" t="s">
        <v>1565</v>
      </c>
      <c r="B3" t="s">
        <v>1555</v>
      </c>
    </row>
    <row r="4" spans="1:2" x14ac:dyDescent="0.35">
      <c r="A4" s="9" t="s">
        <v>161</v>
      </c>
      <c r="B4" s="10">
        <v>5.0632911392405063E-2</v>
      </c>
    </row>
    <row r="5" spans="1:2" x14ac:dyDescent="0.35">
      <c r="A5" s="9" t="s">
        <v>60</v>
      </c>
      <c r="B5" s="10">
        <v>0.56118143459915615</v>
      </c>
    </row>
    <row r="6" spans="1:2" x14ac:dyDescent="0.35">
      <c r="A6" s="9" t="s">
        <v>48</v>
      </c>
      <c r="B6" s="10">
        <v>0.3881856540084388</v>
      </c>
    </row>
    <row r="7" spans="1:2" x14ac:dyDescent="0.35">
      <c r="A7" s="9" t="s">
        <v>1566</v>
      </c>
      <c r="B7" s="10">
        <v>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63EC-0EA9-43F6-97C8-7740778B8808}">
  <dimension ref="A3:B9"/>
  <sheetViews>
    <sheetView workbookViewId="0">
      <selection activeCell="L12" sqref="L12"/>
    </sheetView>
  </sheetViews>
  <sheetFormatPr defaultRowHeight="14.5" x14ac:dyDescent="0.35"/>
  <cols>
    <col min="1" max="1" width="12.36328125" bestFit="1" customWidth="1"/>
    <col min="2" max="2" width="22.6328125" bestFit="1" customWidth="1"/>
  </cols>
  <sheetData>
    <row r="3" spans="1:2" x14ac:dyDescent="0.35">
      <c r="A3" s="8" t="s">
        <v>1565</v>
      </c>
      <c r="B3" t="s">
        <v>1555</v>
      </c>
    </row>
    <row r="4" spans="1:2" x14ac:dyDescent="0.35">
      <c r="A4" s="9" t="s">
        <v>69</v>
      </c>
      <c r="B4">
        <v>112</v>
      </c>
    </row>
    <row r="5" spans="1:2" x14ac:dyDescent="0.35">
      <c r="A5" s="9" t="s">
        <v>46</v>
      </c>
      <c r="B5">
        <v>51</v>
      </c>
    </row>
    <row r="6" spans="1:2" x14ac:dyDescent="0.35">
      <c r="A6" s="9" t="s">
        <v>92</v>
      </c>
      <c r="B6">
        <v>38</v>
      </c>
    </row>
    <row r="7" spans="1:2" x14ac:dyDescent="0.35">
      <c r="A7" s="9" t="s">
        <v>58</v>
      </c>
      <c r="B7">
        <v>25</v>
      </c>
    </row>
    <row r="8" spans="1:2" x14ac:dyDescent="0.35">
      <c r="A8" s="9" t="s">
        <v>75</v>
      </c>
      <c r="B8">
        <v>11</v>
      </c>
    </row>
    <row r="9" spans="1:2" x14ac:dyDescent="0.35">
      <c r="A9" s="9" t="s">
        <v>1566</v>
      </c>
      <c r="B9">
        <v>237</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AFC7-40C2-41EB-A5E1-EEA942EA5F25}">
  <dimension ref="A3:E7"/>
  <sheetViews>
    <sheetView workbookViewId="0">
      <selection activeCell="H14" sqref="H14"/>
    </sheetView>
  </sheetViews>
  <sheetFormatPr defaultRowHeight="14.5" x14ac:dyDescent="0.35"/>
  <cols>
    <col min="1" max="1" width="12.36328125" bestFit="1" customWidth="1"/>
    <col min="2" max="2" width="22.6328125" bestFit="1" customWidth="1"/>
    <col min="4" max="4" width="12.36328125" bestFit="1" customWidth="1"/>
  </cols>
  <sheetData>
    <row r="3" spans="1:5" x14ac:dyDescent="0.35">
      <c r="A3" s="8" t="s">
        <v>1565</v>
      </c>
      <c r="B3" t="s">
        <v>1555</v>
      </c>
      <c r="D3" t="s">
        <v>10</v>
      </c>
      <c r="E3" t="s">
        <v>0</v>
      </c>
    </row>
    <row r="4" spans="1:5" x14ac:dyDescent="0.35">
      <c r="A4" s="9" t="s">
        <v>79</v>
      </c>
      <c r="B4">
        <v>33</v>
      </c>
      <c r="D4" t="str">
        <f>A4</f>
        <v>Divorced</v>
      </c>
      <c r="E4">
        <f>GETPIVOTDATA("CF_attrition count",$A$3,"Marital Status",D4)</f>
        <v>33</v>
      </c>
    </row>
    <row r="5" spans="1:5" x14ac:dyDescent="0.35">
      <c r="A5" s="9" t="s">
        <v>64</v>
      </c>
      <c r="B5">
        <v>84</v>
      </c>
      <c r="D5" t="str">
        <f t="shared" ref="D5:D6" si="0">A5</f>
        <v>Married</v>
      </c>
      <c r="E5">
        <f t="shared" ref="E5:E6" si="1">GETPIVOTDATA("CF_attrition count",$A$3,"Marital Status",D5)</f>
        <v>84</v>
      </c>
    </row>
    <row r="6" spans="1:5" x14ac:dyDescent="0.35">
      <c r="A6" s="9" t="s">
        <v>53</v>
      </c>
      <c r="B6">
        <v>120</v>
      </c>
      <c r="D6" t="str">
        <f t="shared" si="0"/>
        <v>Single</v>
      </c>
      <c r="E6">
        <f t="shared" si="1"/>
        <v>120</v>
      </c>
    </row>
    <row r="7" spans="1:5" x14ac:dyDescent="0.35">
      <c r="A7" s="9" t="s">
        <v>1566</v>
      </c>
      <c r="B7">
        <v>237</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832E5-29B9-4F4B-AFF5-A9FD6220A2AA}">
  <dimension ref="A1:AR1471"/>
  <sheetViews>
    <sheetView topLeftCell="A2" workbookViewId="0">
      <selection activeCell="C7" sqref="C7"/>
    </sheetView>
  </sheetViews>
  <sheetFormatPr defaultColWidth="12.26953125" defaultRowHeight="14.5" x14ac:dyDescent="0.35"/>
  <cols>
    <col min="1" max="1" width="10.6328125" customWidth="1"/>
    <col min="2" max="2" width="16.81640625" customWidth="1"/>
    <col min="3" max="3" width="14.54296875" customWidth="1"/>
    <col min="4" max="4" width="19.1796875" customWidth="1"/>
    <col min="5" max="5" width="13.90625" customWidth="1"/>
    <col min="6" max="6" width="16.81640625" customWidth="1"/>
    <col min="7" max="7" width="9.81640625" customWidth="1"/>
    <col min="8" max="8" width="19.7265625" customWidth="1"/>
    <col min="9" max="9" width="9.36328125" customWidth="1"/>
    <col min="10" max="10" width="25.453125" customWidth="1"/>
    <col min="11" max="11" width="15.7265625" customWidth="1"/>
    <col min="13" max="13" width="9.36328125" customWidth="1"/>
    <col min="14" max="14" width="24.81640625" customWidth="1"/>
    <col min="15" max="17" width="9.36328125" customWidth="1"/>
    <col min="18" max="18" width="19.54296875" customWidth="1"/>
    <col min="19" max="19" width="20.36328125" customWidth="1"/>
    <col min="20" max="20" width="17.90625" customWidth="1"/>
    <col min="21" max="21" width="22.26953125" customWidth="1"/>
    <col min="22" max="22" width="12.08984375" customWidth="1"/>
    <col min="23" max="23" width="21.90625" customWidth="1"/>
    <col min="24" max="24" width="17.453125" customWidth="1"/>
    <col min="25" max="25" width="17.90625" customWidth="1"/>
    <col min="26" max="26" width="25.7265625" customWidth="1"/>
    <col min="27" max="27" width="13.54296875" customWidth="1"/>
    <col min="28" max="28" width="17.90625" customWidth="1"/>
    <col min="29" max="29" width="11.1796875" customWidth="1"/>
    <col min="30" max="30" width="17.08984375" customWidth="1"/>
    <col min="31" max="31" width="17.81640625" customWidth="1"/>
    <col min="32" max="32" width="15.26953125" customWidth="1"/>
    <col min="33" max="33" width="25.7265625" customWidth="1"/>
    <col min="34" max="34" width="20.453125" customWidth="1"/>
    <col min="35" max="35" width="20.81640625" customWidth="1"/>
    <col min="36" max="36" width="25.453125" customWidth="1"/>
    <col min="37" max="37" width="17.08984375" customWidth="1"/>
    <col min="38" max="38" width="19.90625" customWidth="1"/>
    <col min="39" max="39" width="21.1796875" customWidth="1"/>
    <col min="40" max="40" width="19.1796875" customWidth="1"/>
    <col min="41" max="41" width="19.54296875" customWidth="1"/>
    <col min="42" max="42" width="22.1796875" customWidth="1"/>
    <col min="43" max="43" width="27.54296875" customWidth="1"/>
    <col min="44" max="44" width="25.81640625" customWidth="1"/>
  </cols>
  <sheetData>
    <row r="1" spans="1:44"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5"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5"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5"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5"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5"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5"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5"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5"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5"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5"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5"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5"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5"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5"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5"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5"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5"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5"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5"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5"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5"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5"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5"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5"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5"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5"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5"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5"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5"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5"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5"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5"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5"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5"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5"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5"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5"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5"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5"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5"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5"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5"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5"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5"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5"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5"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5"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5"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5"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5"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5"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5"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5"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5"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5"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5"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5"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5"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5"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5"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5"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5"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5"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5"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5"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5"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5"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5"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5"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5"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5"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5"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5"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5"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5"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5"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5"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5"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5"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5"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5"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5"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5"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5"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5"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5"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5"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5"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5"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5"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5"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5"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5"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5"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5"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5"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5"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5"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5"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5"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5"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5"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5"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5"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5"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5"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5"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5"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5"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5"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5"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5"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5"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5"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5"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5"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5"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5"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5"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5"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5"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5"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5"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5"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5"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5"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5"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5"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5"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5"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5"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5"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5"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5"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5"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5"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5"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5"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5"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5"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5"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5"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5"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5"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5"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5"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5"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5"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5"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5"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5"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5"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5"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5"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5"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5"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5"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5"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5"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5"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5"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5"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5"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5"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5"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5"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5"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5"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5"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5"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5"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5"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5"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5"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5"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5"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5"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5"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5"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5"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5"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5"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5"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5"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5"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5"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5"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5"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5"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5"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5"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5"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5"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5"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5"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5"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5"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5"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5"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5"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5"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5"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5"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5"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5"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5"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5"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5"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5"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5"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5"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5"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5"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5"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5"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5"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5"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5"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5"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5"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5"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5"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5"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5"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5"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5"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5"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5"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5"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5"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5"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5"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5"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5"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5"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5"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5"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5"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5"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5"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5"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5"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5"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5"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5"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5"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5"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5"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5"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5"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5"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5"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5"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5"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5"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5"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5"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5"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5"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5"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5"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5"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5"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5"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5"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5"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5"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5"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5"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5"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5"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5"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5"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5"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5"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5"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5"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5"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5"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5"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5"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5"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5"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5"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5"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5"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5"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5"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5"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5"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5"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5"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5"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5"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5"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5"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5"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5"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5"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5"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5"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5"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5"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5"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5"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5"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5"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5"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5"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5"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5"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5"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5"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5"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5"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5"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5"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5"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5"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5"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5"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5"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5"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5"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5"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5"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5"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5"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5"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5"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5"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5"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5"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5"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5"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5"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5"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5"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5"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5"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5"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5"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5"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5"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5"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5"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5"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5"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5"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5"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5"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5"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5"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5"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5"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5"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5"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5"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5"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5"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5"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5"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5"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5"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5"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5"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5"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5"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5"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5"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5"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5"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5"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5"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5"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5"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5"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5"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5"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5"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5"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5"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5"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5"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5"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5"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5"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5"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5"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5"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5"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5"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5"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5"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5"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5"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5"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5"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5"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5"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5"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5"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5"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5"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5"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5"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5"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5"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5"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5"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5"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5"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5"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5"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5"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5"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5"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5"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5"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5"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5"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5"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5"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5"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5"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5"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5"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5"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5"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5"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5"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5"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5"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5"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5"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5"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5"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5"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5"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5"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5"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5"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5"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5"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5"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5"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5"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5"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5"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5"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5"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5"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5"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5"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5"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5"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5"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5"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5"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5"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5"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5"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5"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5"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5"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5"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5"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5"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5"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5"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5"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5"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5"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5"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5"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5"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5"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5"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5"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5"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5"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5"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5"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5"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5"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5"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5"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5"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5"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5"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5"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5"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5"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5"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5"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5"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5"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5"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5"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5"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5"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5"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5"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5"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5"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5"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5"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5"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5"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5"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5"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5"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5"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5"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5"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5"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5"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5"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5"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5"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5"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5"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5"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5"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5"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5"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5"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5"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5"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5"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5"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5"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5"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5"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5"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5"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5"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5"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5"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5"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5"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5"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5"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5"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5"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5"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5"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5"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5"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5"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5"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5"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5"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5"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5"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5"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5"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5"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5"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5"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5"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5"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5"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5"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5"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5"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5"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5"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5"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5"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5"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5"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5"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5"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5"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5"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5"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5"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5"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5"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5"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5"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5"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5"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5"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5"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5"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5"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5"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5"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5"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5"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5"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5"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5"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5"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5"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5"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5"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5"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5"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5"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5"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5"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5"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5"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5"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5"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5"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5"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5"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5"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5"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5"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5"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5"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5"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5"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5"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5"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5"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5"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5"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5"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5"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5"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5"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5"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5"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5"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5"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5"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5"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5"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5"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5"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5"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5"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5"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5"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5"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5"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5"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5"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5"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5"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5"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5"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5"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5"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5"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5"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5"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5"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5"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5"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5"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5"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5"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5"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5"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5"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5"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5"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5"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5"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5"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5"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5"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5"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5"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5"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5"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5"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5"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5"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5"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5"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5"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5"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5"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5"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5"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5"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5"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5"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5"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5"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5"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5"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5"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5"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5"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5"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5"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5"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5"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5"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5"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5"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5"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5"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5"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5"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5"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5"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5"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5"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5"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5"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5"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5"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5"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5"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5"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5"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5"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5"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5"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5"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5"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5"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5"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5"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5"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5"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5"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5"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5"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5"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5"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5"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5"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5"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5"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5"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5"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5"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5"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5"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5"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5"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5"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5"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5"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5"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5"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5"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5"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5"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5"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5"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5"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5"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5"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5"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5"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5"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5"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5"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5"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5"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5"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5"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5"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5"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5"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5"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5"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5"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5"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5"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5"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5"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5"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5"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5"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5"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5"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5"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5"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5"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5"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5"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5"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5"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5"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5"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5"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5"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5"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5"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5"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5"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5"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5"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5"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5"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5"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5"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5"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5"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5"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5"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5"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5"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5"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5"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5"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5"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5"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5"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5"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5"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5"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5"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5"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5"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5"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5"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5"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5"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5"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5"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5"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5"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5"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5"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5"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5"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5"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5"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5"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5"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5"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5"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5"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5"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5"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5"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5"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5"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5"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5"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5"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5"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5"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5"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5"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5"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5"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5"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5"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5"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5"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5"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5"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5"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5"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5"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5"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5"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5"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5"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5"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5"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5"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5"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5"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5"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5"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5"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5"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5"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5"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5"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5"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5"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5"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5"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5"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5"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5"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5"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5"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5"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5"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5"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5"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5"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5"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5"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5"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5"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5"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5"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5"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5"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5"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5"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5"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5"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5"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5"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5"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5"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5"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5"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5"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5"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5"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5"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5"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5"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5"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5"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5"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5"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5"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5"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5"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5"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5"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5"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5"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5"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5"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5"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5"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5"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5"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5"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5"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5"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5"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5"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5"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5"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5"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5"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5"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5"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5"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5"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5"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5"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5"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5"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5"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5"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5"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5"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5"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5"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5"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5"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5"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5"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5"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5"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5"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5"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5"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5"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5"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5"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5"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5"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5"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5"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5"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5"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5"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5"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5"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5"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5"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5"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5"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5"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5"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5"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5"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5"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5"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5"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5"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5"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5"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5"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5"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5"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5"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5"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5"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5"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5"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5"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5"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5"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5"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5"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5"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5"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5"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5"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5"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5"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5"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5"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5"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5"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5"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5"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5"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5"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5"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5"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5"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5"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5"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5"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5"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5"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5"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5"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5"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5"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5"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5"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5"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5"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5"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5"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5"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5"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5"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5"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5"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5"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5"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5"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5"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5"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5"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5"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5"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5"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5"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5"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5"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5"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5"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5"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5"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5"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5"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5"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5"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5"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5"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5"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5"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5"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5"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5"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5"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5"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5"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5"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5"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5"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5"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5"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5"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5"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5"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5"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5"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5"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5"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5"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5"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5"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5"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5"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5"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5"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5"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5"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5"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5"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5"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5"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5"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5"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5"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5"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5"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5"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5"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5"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5"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5"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5"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5"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5"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5"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5"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5"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5"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5"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5"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5"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5"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5"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5"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5"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5"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5"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5"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5"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5"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5"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5"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5"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5"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5"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5"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5"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5"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5"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5"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5"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5"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5"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5"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5"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5"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5"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5"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5"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5"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5"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5"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5"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5"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5"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5"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5"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5"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5"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5"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5"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5"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5"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5"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5"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5"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5"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5"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5"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5"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5"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5"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5"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5"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5"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5"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5"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5"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5"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5"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5"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5"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5"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5"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5"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5"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5"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5"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5"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5"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5"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5"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5"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5"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5"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5"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5"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5"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5"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5"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5"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5"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5"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5"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5"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5"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5"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5"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5"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5"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5"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5"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5"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5"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5"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5"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5"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5"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5"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5"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5"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5"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5"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5"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5"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5"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5"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5"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5"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5"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5"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5"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5"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5"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5"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5"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5"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5"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5"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5"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5"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5"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5"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5"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5"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5"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5"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5"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5"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5"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5"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5"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5"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5"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5"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5"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5"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5"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5"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5"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5"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5"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5"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5"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5"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5"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5"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5"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5"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5"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5"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5"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5"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5"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5"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5"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5"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5"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5"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5"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5"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5"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5"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5"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5"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5"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5"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5"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5"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5"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5"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5"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5"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5"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5"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5"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5"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5"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5"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5"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5"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5"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5"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5"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5"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5"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5"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5"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5"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5"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5"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5"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5"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5"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5"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5"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5"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5"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5"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5"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5"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5"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5"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5"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5"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5"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5"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5"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5"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5"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5"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5"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5"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5"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5"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5"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5"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5"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5"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5"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5"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5"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5"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5"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5"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5"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5"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5"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5"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5"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5"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5"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5"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5"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5"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5"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5"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5"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5"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5"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5"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5"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5"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5"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5"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5"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5"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5"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5"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5"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5"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5"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5"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5"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5"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5"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5"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5"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5"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5"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5"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5"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5"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5"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5"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5"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5"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5"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5"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5"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5"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5"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5"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5"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5"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5"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5"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5"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5"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5"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5"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5"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5"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5"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5"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5"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5"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5"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5"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5"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5"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5"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5"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5"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5"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5"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5"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5"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5"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5"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5"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5"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5"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5"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5"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5"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5"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5"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5"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5"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5"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5"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5"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5"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5"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5"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5"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5"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5"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5"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5"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5"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5"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5"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5"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5"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5"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5"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5"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5"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5"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5"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5"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5"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5"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5"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5"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5"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5"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5"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5"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5"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5"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5"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5"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5"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5"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5"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5"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5"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5"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5"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5"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5"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5"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5"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5"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86BD-A757-438F-8429-6EF6AE685A10}">
  <sheetPr>
    <pageSetUpPr fitToPage="1"/>
  </sheetPr>
  <dimension ref="A1"/>
  <sheetViews>
    <sheetView showGridLines="0" tabSelected="1" topLeftCell="B14" zoomScale="70" zoomScaleNormal="70" workbookViewId="0">
      <selection activeCell="V44" sqref="V44"/>
    </sheetView>
  </sheetViews>
  <sheetFormatPr defaultRowHeight="14.5" x14ac:dyDescent="0.35"/>
  <cols>
    <col min="1" max="16384" width="8.7265625" style="7"/>
  </cols>
  <sheetData/>
  <pageMargins left="0.7" right="0.7" top="0.75" bottom="0.75" header="0.3" footer="0.3"/>
  <pageSetup paperSize="9" scale="5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Dept wise Attrition</vt:lpstr>
      <vt:lpstr>Attrition by Age group</vt:lpstr>
      <vt:lpstr>Marital Status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Chhavik Kapoor</dc:creator>
  <cp:lastModifiedBy>Chhavik Kapoor</cp:lastModifiedBy>
  <cp:lastPrinted>2025-12-26T08:35:29Z</cp:lastPrinted>
  <dcterms:created xsi:type="dcterms:W3CDTF">2025-12-23T08:56:29Z</dcterms:created>
  <dcterms:modified xsi:type="dcterms:W3CDTF">2025-12-26T10:10:17Z</dcterms:modified>
</cp:coreProperties>
</file>